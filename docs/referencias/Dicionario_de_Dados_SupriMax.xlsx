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ntidades" sheetId="2" state="visible" r:id="rId4"/>
    <sheet name="Colunas" sheetId="3" state="visible" r:id="rId5"/>
    <sheet name="Chaves Estrangeiras" sheetId="4" state="visible" r:id="rId6"/>
  </sheets>
  <definedNames>
    <definedName function="false" hidden="true" localSheetId="3" name="_xlnm._FilterDatabase" vbProcedure="false">'Chaves Estrangeiras'!$A$4:$F$49</definedName>
    <definedName function="false" hidden="false" localSheetId="2" name="_xlnm.Print_Titles" vbProcedure="false">Colunas!$1:$1</definedName>
    <definedName function="false" hidden="true" localSheetId="2" name="_xlnm._FilterDatabase" vbProcedure="false">Colunas!$A$1:$L$213</definedName>
    <definedName function="false" hidden="true" localSheetId="1" name="_xlnm._FilterDatabase" vbProcedure="false">Entidades!$A$4:$K$26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<sst xmlns="http://schemas.openxmlformats.org/spreadsheetml/2006/main" count="1602" uniqueCount="579">
  <si>
    <t xml:space="preserve">SupriMax — Dicionário de Dados do Sistema 2 (Cotação Web)</t>
  </si>
  <si>
    <t xml:space="preserve">Finalidade</t>
  </si>
  <si>
    <t xml:space="preserve">Versão em planilha do dicionário de dados das vinte e duas tabelas do Sistema 2, para consulta rápida, filtro e busca. Complementa a seção 13.7 da “Documentação SupriMax”.</t>
  </si>
  <si>
    <t xml:space="preserve">Fonte</t>
  </si>
  <si>
    <t xml:space="preserve">Seção 13.7 da “Documentação SupriMax” (dicionário de dados e chaves estrangeiras). Em caso de divergência, prevalece o documento; ao alterar o schema, atualizar documento e planilha juntos.</t>
  </si>
  <si>
    <t xml:space="preserve">Banco de dados</t>
  </si>
  <si>
    <t xml:space="preserve">Banco único e compartilhado pelos Sistemas 1, 2 e 3 (Supabase/PostgreSQL). Nomes de tabelas e colunas em snake_case, sem acentos.</t>
  </si>
  <si>
    <t xml:space="preserve">ABAS</t>
  </si>
  <si>
    <t xml:space="preserve">Entidades</t>
  </si>
  <si>
    <t xml:space="preserve">Uma linha por tabela: descrição, contagem de colunas e FKs (fórmulas) e uso previsto pelos três sistemas.</t>
  </si>
  <si>
    <t xml:space="preserve">Colunas</t>
  </si>
  <si>
    <t xml:space="preserve">Dicionário completo: uma linha por coluna, com tipo, restrições em colunas separadas, indicação de nulo e tabela referenciada. Use os filtros do cabeçalho.</t>
  </si>
  <si>
    <t xml:space="preserve">Chaves Estrangeiras</t>
  </si>
  <si>
    <t xml:space="preserve">As 45 chaves estrangeiras do modelo lógico, com a tabela/coluna referenciada e a obrigatoriedade.</t>
  </si>
  <si>
    <t xml:space="preserve">SIGLAS DE RESTRIÇÃO</t>
  </si>
  <si>
    <t xml:space="preserve">PK</t>
  </si>
  <si>
    <t xml:space="preserve">Chave primária (não nula por definição).</t>
  </si>
  <si>
    <t xml:space="preserve">FK</t>
  </si>
  <si>
    <t xml:space="preserve">Chave estrangeira (referência na aba Chaves Estrangeiras).</t>
  </si>
  <si>
    <t xml:space="preserve">UK</t>
  </si>
  <si>
    <t xml:space="preserve">Unicidade (UNIQUE).</t>
  </si>
  <si>
    <t xml:space="preserve">NN</t>
  </si>
  <si>
    <t xml:space="preserve">Não nulo (NOT NULL).</t>
  </si>
  <si>
    <t xml:space="preserve">CK</t>
  </si>
  <si>
    <t xml:space="preserve">Restrição de verificação (CHECK); a regra completa está na descrição da coluna e na seção 13.4 da documentação.</t>
  </si>
  <si>
    <t xml:space="preserve">OBSERVAÇÕES</t>
  </si>
  <si>
    <t xml:space="preserve">Nulos</t>
  </si>
  <si>
    <t xml:space="preserve">Colunas sem NN e que não sejam PK aceitam nulo (coluna “Aceita nulo?”, calculada por fórmula).</t>
  </si>
  <si>
    <t xml:space="preserve">Uso pelos sistemas</t>
  </si>
  <si>
    <t xml:space="preserve">O uso previsto das tabelas pelos Sistemas 1 e 3 foi inferido da documentação de requisitos e ainda deve ser confirmado com os grupos responsáveis.</t>
  </si>
  <si>
    <t xml:space="preserve">Escopo</t>
  </si>
  <si>
    <t xml:space="preserve">Cobre apenas as tabelas do Sistema 2. Os dicionários dos Sistemas 1 e 3 dependem dos respectivos grupos.</t>
  </si>
  <si>
    <t xml:space="preserve">CONFERÊNCIA</t>
  </si>
  <si>
    <t xml:space="preserve">Tabelas</t>
  </si>
  <si>
    <t xml:space="preserve">Chaves estrangeiras</t>
  </si>
  <si>
    <t xml:space="preserve">Conferência</t>
  </si>
  <si>
    <t xml:space="preserve">Referência</t>
  </si>
  <si>
    <t xml:space="preserve">Valores esperados, conforme a seção 13.7 da “Documentação SupriMax”: 22 tabelas, 212 colunas e 45 chaves estrangeiras. A conferência também compara os totais da aba Entidades com as abas Colunas e Chaves Estrangeiras.</t>
  </si>
  <si>
    <t xml:space="preserve">Entidades do Sistema 2 — visão geral</t>
  </si>
  <si>
    <t xml:space="preserve">Contagens calculadas por fórmula a partir da aba Colunas. Uso previsto pelos Sistemas 1 e 3: inferido da documentação de requisitos, a confirmar com os grupos responsáveis.</t>
  </si>
  <si>
    <t xml:space="preserve">Nº</t>
  </si>
  <si>
    <t xml:space="preserve">Entidade</t>
  </si>
  <si>
    <t xml:space="preserve">Tabela</t>
  </si>
  <si>
    <t xml:space="preserve">Descrição</t>
  </si>
  <si>
    <t xml:space="preserve">Nº de colunas</t>
  </si>
  <si>
    <t xml:space="preserve">Nº de FKs</t>
  </si>
  <si>
    <t xml:space="preserve">Nº de colunas com CK</t>
  </si>
  <si>
    <t xml:space="preserve">Uso previsto — Sistema 1 (mobile)</t>
  </si>
  <si>
    <t xml:space="preserve">Uso previsto — Sistema 2 (cotação)</t>
  </si>
  <si>
    <t xml:space="preserve">Uso previsto — Sistema 3 (painel)</t>
  </si>
  <si>
    <t xml:space="preserve">Origem / observação (checklist)</t>
  </si>
  <si>
    <t xml:space="preserve">Operador/Vendedor</t>
  </si>
  <si>
    <t xml:space="preserve">operador</t>
  </si>
  <si>
    <t xml:space="preserve">Usuário do sistema em qualquer perfil (vendedor, operador, operador chefe, fiscal, financeiro ou gestor). Login unificado com os Sistemas 1 e 3; o vendedor responde por uma carteira de clientes.</t>
  </si>
  <si>
    <t xml:space="preserve">Login unificado</t>
  </si>
  <si>
    <t xml:space="preserve">Login, perfis e gestão de usuários</t>
  </si>
  <si>
    <t xml:space="preserve">Usuário em qualquer perfil (vendedor, operador, operador chefe, fiscal, financeiro ou gestor): login, bloqueio após tentativas inválidas e recuperação de senha.</t>
  </si>
  <si>
    <t xml:space="preserve">Cliente</t>
  </si>
  <si>
    <t xml:space="preserve">cliente</t>
  </si>
  <si>
    <t xml:space="preserve">Empresa cliente B2B, identificada por CNPJ. Cada cliente pertence a um único vendedor (carteira de clientes).</t>
  </si>
  <si>
    <t xml:space="preserve">Consulta ao abrir pedido</t>
  </si>
  <si>
    <t xml:space="preserve">Cadastro e consulta</t>
  </si>
  <si>
    <t xml:space="preserve">Consulta</t>
  </si>
  <si>
    <t xml:space="preserve">Cliente B2B por CNPJ; vinculado a um vendedor responsável (carteira de clientes).</t>
  </si>
  <si>
    <t xml:space="preserve">Endereço do Cliente</t>
  </si>
  <si>
    <t xml:space="preserve">endereco_cliente</t>
  </si>
  <si>
    <t xml:space="preserve">Endereço cadastral ou local de entrega de um cliente (relação 1:N).</t>
  </si>
  <si>
    <t xml:space="preserve">Um ou mais endereços/locais de entrega por cliente.</t>
  </si>
  <si>
    <t xml:space="preserve">Produto</t>
  </si>
  <si>
    <t xml:space="preserve">produto</t>
  </si>
  <si>
    <t xml:space="preserve">Item do catálogo, sem marca ou embalagem definidas. Compartilhado com os Sistemas 1 e 3.</t>
  </si>
  <si>
    <t xml:space="preserve">Consulta de preços e disponibilidade</t>
  </si>
  <si>
    <t xml:space="preserve">Controle de estoque e indicadores</t>
  </si>
  <si>
    <t xml:space="preserve">Código interno, descrição e NCM.</t>
  </si>
  <si>
    <t xml:space="preserve">Variação do Produto</t>
  </si>
  <si>
    <t xml:space="preserve">variacao_produto</t>
  </si>
  <si>
    <t xml:space="preserve">Combinação de marca e tamanho/embalagem de um produto; é o item de estoque físico independente. O preço não fica aqui: vem das Faixas de Preço (venda avulsa) ou dos Fardos (venda fechada).</t>
  </si>
  <si>
    <t xml:space="preserve">Marca e tamanho/embalagem; item de estoque físico independente.</t>
  </si>
  <si>
    <t xml:space="preserve">Faixa de Preço</t>
  </si>
  <si>
    <t xml:space="preserve">faixa_preco</t>
  </si>
  <si>
    <t xml:space="preserve">Faixa de preço para venda avulsa de uma variação, por quantidade mínima (ex.: 1 a 3 un. = R$ 25,00; 4+ un. = R$ 19,00).</t>
  </si>
  <si>
    <t xml:space="preserve">Preço por faixa de quantidade, para venda avulsa da variação.</t>
  </si>
  <si>
    <t xml:space="preserve">Fardo</t>
  </si>
  <si>
    <t xml:space="preserve">fardo</t>
  </si>
  <si>
    <t xml:space="preserve">Opção de venda em pacote fechado de uma variação. Uma variação pode ter mais de um tipo de fardo, cada um com preço próprio.</t>
  </si>
  <si>
    <t xml:space="preserve">Preço fixo por pacote fechado da variação.</t>
  </si>
  <si>
    <t xml:space="preserve">Orçamento</t>
  </si>
  <si>
    <t xml:space="preserve">orcamento</t>
  </si>
  <si>
    <t xml:space="preserve">Orçamento (cotação de venda) emitido a um cliente por um operador/vendedor, com versões e status (seção 4.6). O orçamento emitido é imutável; os valores aceitos ficam em resposta_orcamento.</t>
  </si>
  <si>
    <t xml:space="preserve">Lê o orçamento pronto; registra o follow-up</t>
  </si>
  <si>
    <t xml:space="preserve">Monta, edita, emite e versiona</t>
  </si>
  <si>
    <t xml:space="preserve">Lê para indicadores (RF17)</t>
  </si>
  <si>
    <t xml:space="preserve">Cabeçalho do orçamento: número, validade, status, condições, vínculo com o pedido e com a versão original.</t>
  </si>
  <si>
    <t xml:space="preserve">Item de Orçamento</t>
  </si>
  <si>
    <t xml:space="preserve">item_orcamento</t>
  </si>
  <si>
    <t xml:space="preserve">Linha do orçamento: uma variação, comprada por fardo fechado ou avulso.</t>
  </si>
  <si>
    <t xml:space="preserve">Linha do orçamento, por fardo fechado ou por faixa avulsa.</t>
  </si>
  <si>
    <t xml:space="preserve">Reserva de Estoque</t>
  </si>
  <si>
    <t xml:space="preserve">reserva_estoque</t>
  </si>
  <si>
    <t xml:space="preserve">Reserva de saldo físico criada, na emissão do orçamento, para cada item (relação 1:1). Expira junto com a validade do orçamento.</t>
  </si>
  <si>
    <t xml:space="preserve">Reserva de saldo físico criada, na emissão, para cada item de orçamento (1:1); baixada no aceite.</t>
  </si>
  <si>
    <t xml:space="preserve">Anexo do Orçamento</t>
  </si>
  <si>
    <t xml:space="preserve">anexo_orcamento</t>
  </si>
  <si>
    <t xml:space="preserve">Arquivo anexado ao orçamento, como descritivo técnico ou material de apoio.</t>
  </si>
  <si>
    <t xml:space="preserve">Consulta o resultado</t>
  </si>
  <si>
    <t xml:space="preserve">—</t>
  </si>
  <si>
    <t xml:space="preserve">Descritivos técnicos e materiais de apoio do orçamento.</t>
  </si>
  <si>
    <t xml:space="preserve">Análise de Crédito</t>
  </si>
  <si>
    <t xml:space="preserve">analise_credito</t>
  </si>
  <si>
    <t xml:space="preserve">Análise de crédito de um cliente, opcionalmente ligada a um orçamento.</t>
  </si>
  <si>
    <t xml:space="preserve">Resultado da análise de crédito do cliente.</t>
  </si>
  <si>
    <t xml:space="preserve">Documento da Análise</t>
  </si>
  <si>
    <t xml:space="preserve">documento_analise_credito</t>
  </si>
  <si>
    <t xml:space="preserve">Documento recebido do cliente para a análise de crédito. Contém dados sensíveis (LGPD).</t>
  </si>
  <si>
    <t xml:space="preserve">Documentos recebidos para a análise de crédito.</t>
  </si>
  <si>
    <t xml:space="preserve">Dívida/Inadimplência</t>
  </si>
  <si>
    <t xml:space="preserve">divida_inadimplencia</t>
  </si>
  <si>
    <t xml:space="preserve">Dívida de um cliente, com renegociação e protesto. Uma dívida em aberto e não renegociada bloqueia novos orçamentos do cliente.</t>
  </si>
  <si>
    <t xml:space="preserve">Consulta ao abrir orçamento; cadastro pelo financeiro</t>
  </si>
  <si>
    <t xml:space="preserve">Indicadores de inadimplência</t>
  </si>
  <si>
    <t xml:space="preserve">Dívida do cliente, com renegociação e protesto.</t>
  </si>
  <si>
    <t xml:space="preserve">Histórico do Orçamento</t>
  </si>
  <si>
    <t xml:space="preserve">historico_orcamento</t>
  </si>
  <si>
    <t xml:space="preserve">Registro de mudanças de status e de atualizações periódicas de um orçamento (follow-up do vendedor).</t>
  </si>
  <si>
    <t xml:space="preserve">Histórico de status e de follow-up do vendedor.</t>
  </si>
  <si>
    <t xml:space="preserve">Entrada de Mercadoria</t>
  </si>
  <si>
    <t xml:space="preserve">entrada_mercadoria</t>
  </si>
  <si>
    <t xml:space="preserve">Conferência de entrada de mercadoria, com registro de exceções liberadas por operador chefe.</t>
  </si>
  <si>
    <t xml:space="preserve">Registra entradas</t>
  </si>
  <si>
    <t xml:space="preserve">Controle de estoque</t>
  </si>
  <si>
    <t xml:space="preserve">Conferência de entrada, com liberação de divergência.</t>
  </si>
  <si>
    <t xml:space="preserve">Fornecedor</t>
  </si>
  <si>
    <t xml:space="preserve">fornecedor</t>
  </si>
  <si>
    <t xml:space="preserve">Empresa que fornece produtos à SupriMax (cadastro mínimo), usada no registro de entrada de mercadoria.</t>
  </si>
  <si>
    <t xml:space="preserve">Quem fornece produtos à SupriMax; cadastro mínimo usado na entrada de mercadoria.</t>
  </si>
  <si>
    <t xml:space="preserve">Pedido</t>
  </si>
  <si>
    <t xml:space="preserve">pedido</t>
  </si>
  <si>
    <t xml:space="preserve">Pedido registrado pelo vendedor no Sistema 1, com a configuração desejada pelo cliente. É lido e atendido pelo Sistema 2 (seção 4.6).</t>
  </si>
  <si>
    <t xml:space="preserve">Registra o pedido; lê o status e o motivo da negativa</t>
  </si>
  <si>
    <t xml:space="preserve">Lista pedidos em aberto, analisa, aprova ou nega</t>
  </si>
  <si>
    <t xml:space="preserve">Pedido de orçamento registrado pelo vendedor no Sistema 1, com a configuração desejada pelo cliente; analisado no Sistema 2 (aprovado ou negado).</t>
  </si>
  <si>
    <t xml:space="preserve">Item de Pedido</t>
  </si>
  <si>
    <t xml:space="preserve">item_pedido</t>
  </si>
  <si>
    <t xml:space="preserve">Produto desejado em um pedido: variação, granularidade e quantidade.</t>
  </si>
  <si>
    <t xml:space="preserve">Produto desejado no pedido: variação, granularidade e quantidade.</t>
  </si>
  <si>
    <t xml:space="preserve">Resposta do Cliente</t>
  </si>
  <si>
    <t xml:space="preserve">resposta_orcamento</t>
  </si>
  <si>
    <t xml:space="preserve">Resposta do cliente a um orçamento emitido, registrada como PENDENTE pelo Sistema 1 e processada pelo Sistema 2. Cada resposta traz o estado de todos os itens e guarda os valores aprovados, sem alterar o orçamento emitido (imutável).</t>
  </si>
  <si>
    <t xml:space="preserve">Registra a resposta pendente; lê o último dado gravado</t>
  </si>
  <si>
    <t xml:space="preserve">Processa, recalcula e trata as respostas</t>
  </si>
  <si>
    <t xml:space="preserve">Resposta ao orçamento emitido (aprovação por item, recusa ou alteração), registrada como PENDENTE pelo Sistema 1 e processada pelo Sistema 2.</t>
  </si>
  <si>
    <t xml:space="preserve">Item da Resposta</t>
  </si>
  <si>
    <t xml:space="preserve">item_resposta_orcamento</t>
  </si>
  <si>
    <t xml:space="preserve">Quantidade aprovada por item do orçamento e valores recalculados na consolidação.</t>
  </si>
  <si>
    <t xml:space="preserve">Movimentação de Estoque</t>
  </si>
  <si>
    <t xml:space="preserve">movimentacao_estoque</t>
  </si>
  <si>
    <t xml:space="preserve">Histórico de toda variação do estoque físico: entradas de mercadoria, baixas no aceite, ajustes e estornos.</t>
  </si>
  <si>
    <t xml:space="preserve">Registra entradas, ajustes e baixas</t>
  </si>
  <si>
    <t xml:space="preserve">Histórico de entradas, baixas no aceite, ajustes e estornos do estoque físico.</t>
  </si>
  <si>
    <t xml:space="preserve">Total</t>
  </si>
  <si>
    <t xml:space="preserve">Coluna</t>
  </si>
  <si>
    <t xml:space="preserve">Tipo</t>
  </si>
  <si>
    <t xml:space="preserve">Aceita nulo?</t>
  </si>
  <si>
    <t xml:space="preserve">Referencia (FK)</t>
  </si>
  <si>
    <t xml:space="preserve">id_operador</t>
  </si>
  <si>
    <t xml:space="preserve">INTEGER</t>
  </si>
  <si>
    <t xml:space="preserve">X</t>
  </si>
  <si>
    <t xml:space="preserve">Identificador do operador (auto-incremento).</t>
  </si>
  <si>
    <t xml:space="preserve">usuario</t>
  </si>
  <si>
    <t xml:space="preserve">VARCHAR(50)</t>
  </si>
  <si>
    <t xml:space="preserve">Nome de usuário usado no login.</t>
  </si>
  <si>
    <t xml:space="preserve">email</t>
  </si>
  <si>
    <t xml:space="preserve">VARCHAR(120)</t>
  </si>
  <si>
    <t xml:space="preserve">E-mail do usuário; recebe o link de definição e de recuperação de senha.</t>
  </si>
  <si>
    <t xml:space="preserve">senha_hash</t>
  </si>
  <si>
    <t xml:space="preserve">VARCHAR(255)</t>
  </si>
  <si>
    <t xml:space="preserve">Senha armazenada de forma criptografada (RNF01).</t>
  </si>
  <si>
    <t xml:space="preserve">perfil</t>
  </si>
  <si>
    <t xml:space="preserve">VARCHAR(20)</t>
  </si>
  <si>
    <t xml:space="preserve">VENDEDOR, OPERADOR, OPERADOR_CHEFE, FISCAL, FINANCEIRO ou GESTOR.</t>
  </si>
  <si>
    <t xml:space="preserve">status</t>
  </si>
  <si>
    <t xml:space="preserve">VARCHAR(7)</t>
  </si>
  <si>
    <t xml:space="preserve">ATIVO ou INATIVO. Padrão: ATIVO.</t>
  </si>
  <si>
    <t xml:space="preserve">tentativas_login_invalidas</t>
  </si>
  <si>
    <t xml:space="preserve">SMALLINT</t>
  </si>
  <si>
    <t xml:space="preserve">Contador de tentativas de login inválidas consecutivas; 0 a 3. Padrão: 0.</t>
  </si>
  <si>
    <t xml:space="preserve">bloqueado_ate</t>
  </si>
  <si>
    <t xml:space="preserve">TIMESTAMP</t>
  </si>
  <si>
    <t xml:space="preserve">Momento até o qual o login fica bloqueado; nulo quando não há bloqueio ativo.</t>
  </si>
  <si>
    <t xml:space="preserve">token_recuperacao_senha</t>
  </si>
  <si>
    <t xml:space="preserve">Token de redefinição de senha enviado por e-mail; nulo fora do fluxo de recuperação.</t>
  </si>
  <si>
    <t xml:space="preserve">validade_token</t>
  </si>
  <si>
    <t xml:space="preserve">Data e hora limite de uso do token de recuperação; nula quando não há token ativo.</t>
  </si>
  <si>
    <t xml:space="preserve">data_cadastro</t>
  </si>
  <si>
    <t xml:space="preserve">Data e hora de criação da conta. Padrão: momento atual.</t>
  </si>
  <si>
    <t xml:space="preserve">id_cliente</t>
  </si>
  <si>
    <t xml:space="preserve">Identificador do cliente (auto-incremento).</t>
  </si>
  <si>
    <t xml:space="preserve">cnpj</t>
  </si>
  <si>
    <t xml:space="preserve">CHAR(14)</t>
  </si>
  <si>
    <t xml:space="preserve">CNPJ, somente dígitos.</t>
  </si>
  <si>
    <t xml:space="preserve">razao_social</t>
  </si>
  <si>
    <t xml:space="preserve">VARCHAR(150)</t>
  </si>
  <si>
    <t xml:space="preserve">Razão social.</t>
  </si>
  <si>
    <t xml:space="preserve">nome_fantasia</t>
  </si>
  <si>
    <t xml:space="preserve">Nome fantasia; opcional, usado na busca por CNPJ, razão social ou nome fantasia (UC14).</t>
  </si>
  <si>
    <t xml:space="preserve">nome_contato</t>
  </si>
  <si>
    <t xml:space="preserve">VARCHAR(100)</t>
  </si>
  <si>
    <t xml:space="preserve">Nome do responsável/contato.</t>
  </si>
  <si>
    <t xml:space="preserve">telefone_contato</t>
  </si>
  <si>
    <t xml:space="preserve">Telefone de contato.</t>
  </si>
  <si>
    <t xml:space="preserve">email_contato</t>
  </si>
  <si>
    <t xml:space="preserve">E-mail de contato.</t>
  </si>
  <si>
    <t xml:space="preserve">tipo_unidade</t>
  </si>
  <si>
    <t xml:space="preserve">VARCHAR(6)</t>
  </si>
  <si>
    <t xml:space="preserve">MATRIZ ou FILIAL.</t>
  </si>
  <si>
    <t xml:space="preserve">VARCHAR(9)</t>
  </si>
  <si>
    <t xml:space="preserve">ATIVO, INATIVO ou BLOQUEADO. Padrão: ATIVO.</t>
  </si>
  <si>
    <t xml:space="preserve">id_operador_vendedor</t>
  </si>
  <si>
    <t xml:space="preserve">operador (id_operador)</t>
  </si>
  <si>
    <t xml:space="preserve">Vendedor responsável pela carteira do cliente.</t>
  </si>
  <si>
    <t xml:space="preserve">aceite_lgpd</t>
  </si>
  <si>
    <t xml:space="preserve">BOOLEAN</t>
  </si>
  <si>
    <t xml:space="preserve">Aceite da cláusula LGPD; só admite TRUE.</t>
  </si>
  <si>
    <t xml:space="preserve">data_aceite_lgpd</t>
  </si>
  <si>
    <t xml:space="preserve">Data e hora do aceite da cláusula LGPD.</t>
  </si>
  <si>
    <t xml:space="preserve">Data e hora do cadastro. Padrão: momento atual.</t>
  </si>
  <si>
    <t xml:space="preserve">id_endereco</t>
  </si>
  <si>
    <t xml:space="preserve">Identificador do endereço (auto-incremento).</t>
  </si>
  <si>
    <t xml:space="preserve">cliente (id_cliente)</t>
  </si>
  <si>
    <t xml:space="preserve">Cliente dono do endereço.</t>
  </si>
  <si>
    <t xml:space="preserve">tipo</t>
  </si>
  <si>
    <t xml:space="preserve">VARCHAR(10)</t>
  </si>
  <si>
    <t xml:space="preserve">CADASTRAL ou ENTREGA.</t>
  </si>
  <si>
    <t xml:space="preserve">logradouro</t>
  </si>
  <si>
    <t xml:space="preserve">Rua, avenida etc.</t>
  </si>
  <si>
    <t xml:space="preserve">numero</t>
  </si>
  <si>
    <t xml:space="preserve">Número (aceita 'S/N').</t>
  </si>
  <si>
    <t xml:space="preserve">complemento</t>
  </si>
  <si>
    <t xml:space="preserve">VARCHAR(60)</t>
  </si>
  <si>
    <t xml:space="preserve">Complemento.</t>
  </si>
  <si>
    <t xml:space="preserve">bairro</t>
  </si>
  <si>
    <t xml:space="preserve">VARCHAR(80)</t>
  </si>
  <si>
    <t xml:space="preserve">Bairro.</t>
  </si>
  <si>
    <t xml:space="preserve">cidade</t>
  </si>
  <si>
    <t xml:space="preserve">Cidade.</t>
  </si>
  <si>
    <t xml:space="preserve">uf</t>
  </si>
  <si>
    <t xml:space="preserve">CHAR(2)</t>
  </si>
  <si>
    <t xml:space="preserve">Unidade da federação.</t>
  </si>
  <si>
    <t xml:space="preserve">cep</t>
  </si>
  <si>
    <t xml:space="preserve">CHAR(8)</t>
  </si>
  <si>
    <t xml:space="preserve">CEP, somente dígitos.</t>
  </si>
  <si>
    <t xml:space="preserve">id_produto</t>
  </si>
  <si>
    <t xml:space="preserve">Identificador do produto (auto-incremento).</t>
  </si>
  <si>
    <t xml:space="preserve">codigo_interno</t>
  </si>
  <si>
    <t xml:space="preserve">VARCHAR(30)</t>
  </si>
  <si>
    <t xml:space="preserve">Código interno do produto.</t>
  </si>
  <si>
    <t xml:space="preserve">descricao</t>
  </si>
  <si>
    <t xml:space="preserve">VARCHAR(200)</t>
  </si>
  <si>
    <t xml:space="preserve">Descrição do produto.</t>
  </si>
  <si>
    <t xml:space="preserve">ncm</t>
  </si>
  <si>
    <t xml:space="preserve">Classificação fiscal NCM; nulo quando não aplicável.</t>
  </si>
  <si>
    <t xml:space="preserve">ean</t>
  </si>
  <si>
    <t xml:space="preserve">VARCHAR(14)</t>
  </si>
  <si>
    <t xml:space="preserve">Código de barras (EAN/GTIN); opcional.</t>
  </si>
  <si>
    <t xml:space="preserve">categoria</t>
  </si>
  <si>
    <t xml:space="preserve">Categoria/departamento do produto (UC15); opcional.</t>
  </si>
  <si>
    <t xml:space="preserve">ativo</t>
  </si>
  <si>
    <t xml:space="preserve">FALSE para produto descontinuado. Padrão: TRUE.</t>
  </si>
  <si>
    <t xml:space="preserve">id_variacao</t>
  </si>
  <si>
    <t xml:space="preserve">Identificador da variação (auto-incremento).</t>
  </si>
  <si>
    <t xml:space="preserve">produto (id_produto)</t>
  </si>
  <si>
    <t xml:space="preserve">Produto ao qual a variação pertence.</t>
  </si>
  <si>
    <t xml:space="preserve">marca</t>
  </si>
  <si>
    <t xml:space="preserve">Marca.</t>
  </si>
  <si>
    <t xml:space="preserve">tamanho_embalagem</t>
  </si>
  <si>
    <t xml:space="preserve">VARCHAR(40)</t>
  </si>
  <si>
    <t xml:space="preserve">Tamanho ou embalagem (ex.: 1 kg, 5 kg).</t>
  </si>
  <si>
    <t xml:space="preserve">quantidade_estoque</t>
  </si>
  <si>
    <t xml:space="preserve">Quantidade em estoque físico à pronta entrega; maior ou igual a zero. Padrão: 0.</t>
  </si>
  <si>
    <t xml:space="preserve">id_faixa_preco</t>
  </si>
  <si>
    <t xml:space="preserve">Identificador da faixa (auto-incremento).</t>
  </si>
  <si>
    <t xml:space="preserve">variacao_produto (id_variacao)</t>
  </si>
  <si>
    <t xml:space="preserve">Variação à qual a faixa pertence.</t>
  </si>
  <si>
    <t xml:space="preserve">quantidade_minima</t>
  </si>
  <si>
    <t xml:space="preserve">Quantidade mínima para a faixa se aplicar; maior que zero.</t>
  </si>
  <si>
    <t xml:space="preserve">preco_unitario</t>
  </si>
  <si>
    <t xml:space="preserve">DECIMAL(12,2)</t>
  </si>
  <si>
    <t xml:space="preserve">Preço unitário nessa faixa; maior ou igual a zero.</t>
  </si>
  <si>
    <t xml:space="preserve">id_fardo</t>
  </si>
  <si>
    <t xml:space="preserve">Identificador do fardo (auto-incremento).</t>
  </si>
  <si>
    <t xml:space="preserve">Variação à qual o fardo pertence.</t>
  </si>
  <si>
    <t xml:space="preserve">quantidade_unidades</t>
  </si>
  <si>
    <t xml:space="preserve">Quantidade de unidades por fardo; maior que zero.</t>
  </si>
  <si>
    <t xml:space="preserve">preco_fixo</t>
  </si>
  <si>
    <t xml:space="preserve">Preço fixo do fardo; maior ou igual a zero.</t>
  </si>
  <si>
    <t xml:space="preserve">id_orcamento</t>
  </si>
  <si>
    <t xml:space="preserve">Identificador interno do orçamento (auto-incremento).</t>
  </si>
  <si>
    <t xml:space="preserve">numero_orcamento</t>
  </si>
  <si>
    <t xml:space="preserve">BIGINT</t>
  </si>
  <si>
    <t xml:space="preserve">Número sequencial único e crescente (mínimo de 5 dígitos na exibição, sem limite superior), sem vínculo com a data. Vem de uma sequence e é atribuído na emissão; nulo em rascunho.</t>
  </si>
  <si>
    <t xml:space="preserve">Cliente do orçamento.</t>
  </si>
  <si>
    <t xml:space="preserve">Operador (Sistema 2) responsável pelo orçamento.</t>
  </si>
  <si>
    <t xml:space="preserve">id_endereco_entrega</t>
  </si>
  <si>
    <t xml:space="preserve">endereco_cliente (id_endereco)</t>
  </si>
  <si>
    <t xml:space="preserve">Local de entrega escolhido; opcional.</t>
  </si>
  <si>
    <t xml:space="preserve">id_pedido</t>
  </si>
  <si>
    <t xml:space="preserve">pedido (id_pedido)</t>
  </si>
  <si>
    <t xml:space="preserve">Pedido do Sistema 1 que originou o orçamento; opcional.</t>
  </si>
  <si>
    <t xml:space="preserve">id_orcamento_origem</t>
  </si>
  <si>
    <t xml:space="preserve">orcamento (id_orcamento)</t>
  </si>
  <si>
    <t xml:space="preserve">Orçamento original, quando este é uma nova versão criada por pedido de alteração; opcional.</t>
  </si>
  <si>
    <t xml:space="preserve">data_criacao</t>
  </si>
  <si>
    <t xml:space="preserve">Data e hora de criação do rascunho. Padrão: momento atual.</t>
  </si>
  <si>
    <t xml:space="preserve">data_ultima_edicao</t>
  </si>
  <si>
    <t xml:space="preserve">Data e hora da última edição; base da expiração de 30 dias do rascunho. Padrão: momento atual.</t>
  </si>
  <si>
    <t xml:space="preserve">data_encerramento</t>
  </si>
  <si>
    <t xml:space="preserve">Data e hora em que o orçamento saiu de aberto (aceito, recusado, cancelado, substituído ou expirado); base do apagamento do rascunho expirado 30 dias depois.</t>
  </si>
  <si>
    <t xml:space="preserve">data_emissao</t>
  </si>
  <si>
    <t xml:space="preserve">DATE</t>
  </si>
  <si>
    <t xml:space="preserve">Data de emissão, definida na emissão; nula em rascunho.</t>
  </si>
  <si>
    <t xml:space="preserve">data_validade</t>
  </si>
  <si>
    <t xml:space="preserve">Data de validade; igual à emissão + 30 dias; nula em rascunho.</t>
  </si>
  <si>
    <t xml:space="preserve">RASCUNHO, PENDENTE_CREDITO, ABERTO, ALTERACAO_SOLICITADA, ACEITO, RECUSADO, CANCELADO, SUBSTITUIDO ou EXPIRADO (ver seção 4.6). Padrão: RASCUNHO.</t>
  </si>
  <si>
    <t xml:space="preserve">motivo_expiracao</t>
  </si>
  <si>
    <t xml:space="preserve">Preenchido quando status = EXPIRADO: RASCUNHO (30 dias sem edição) ou VALIDADE (30 dias após a emissão).</t>
  </si>
  <si>
    <t xml:space="preserve">numero_solicitacao_compra</t>
  </si>
  <si>
    <t xml:space="preserve">Número da solicitação de compra do cliente.</t>
  </si>
  <si>
    <t xml:space="preserve">contato_solicitacao</t>
  </si>
  <si>
    <t xml:space="preserve">Contato específico do cliente vinculado ao orçamento.</t>
  </si>
  <si>
    <t xml:space="preserve">prazo_entrega_dias</t>
  </si>
  <si>
    <t xml:space="preserve">Prazo de entrega em dias, exibido no PDF; maior que zero.</t>
  </si>
  <si>
    <t xml:space="preserve">primeira_compra</t>
  </si>
  <si>
    <t xml:space="preserve">TRUE quando é a primeira compra do cliente (pagamento 100% adiantado); definido pelo backend na abertura do orçamento, a partir do histórico de compras fechadas. Padrão: FALSE.</t>
  </si>
  <si>
    <t xml:space="preserve">condicao_pagamento</t>
  </si>
  <si>
    <t xml:space="preserve">VARCHAR(16)</t>
  </si>
  <si>
    <t xml:space="preserve">ADIANTADO_100, BOLETO, PARCELADO ou ADIANTADO_50_50 (crédito reprovado); nulo em rascunho.</t>
  </si>
  <si>
    <t xml:space="preserve">prazo_dias</t>
  </si>
  <si>
    <t xml:space="preserve">Prazo do boleto em dias corridos: 10, 15, 20, 28 ou 30; obrigatório quando condicao_pagamento = BOLETO e nulo nos demais casos.</t>
  </si>
  <si>
    <t xml:space="preserve">numero_parcelas</t>
  </si>
  <si>
    <t xml:space="preserve">Número de parcelas, maior que 1; obrigatório quando condicao_pagamento = PARCELADO e nulo nos demais casos.</t>
  </si>
  <si>
    <t xml:space="preserve">modalidade_frete</t>
  </si>
  <si>
    <t xml:space="preserve">VARCHAR(3)</t>
  </si>
  <si>
    <t xml:space="preserve">CIF (a partir de R$ 1.500,00 ou CIF contratual) ou FOB (abaixo de R$ 1.500,00); nulo em rascunho.</t>
  </si>
  <si>
    <t xml:space="preserve">origem_transportadora</t>
  </si>
  <si>
    <t xml:space="preserve">SUPRIMAX (frete cotado pela SupriMax) ou CLIENTE (transportadora indicada pelo cliente); preenchido só quando modalidade_frete = FOB.</t>
  </si>
  <si>
    <t xml:space="preserve">transportadora</t>
  </si>
  <si>
    <t xml:space="preserve">Nome da transportadora, quando o frete FOB é cotado ou indicado; opcional.</t>
  </si>
  <si>
    <t xml:space="preserve">valor_frete</t>
  </si>
  <si>
    <t xml:space="preserve">Valor do frete destacado no orçamento e na nota fiscal; maior ou igual a zero; nulo quando CIF, quando a transportadora é do cliente ou enquanto o frete não foi cotado.</t>
  </si>
  <si>
    <t xml:space="preserve">frete_provisorio</t>
  </si>
  <si>
    <t xml:space="preserve">TRUE quando o frete FOB ainda não foi cotado com a transportadora; o orçamento sinaliza a provisoriedade (UC18, E3). Padrão: FALSE.</t>
  </si>
  <si>
    <t xml:space="preserve">valor_total_itens</t>
  </si>
  <si>
    <t xml:space="preserve">Soma de valor_total_item das linhas (com imposto, sem frete); base de comparação dos limites comerciais. Gravado na emissão; nulo em rascunho.</t>
  </si>
  <si>
    <t xml:space="preserve">valor_total_imposto</t>
  </si>
  <si>
    <t xml:space="preserve">Soma de valor_imposto das linhas. Gravado na emissão; nulo em rascunho.</t>
  </si>
  <si>
    <t xml:space="preserve">valor_total_proposta</t>
  </si>
  <si>
    <t xml:space="preserve">Valor total da proposta: valor_total_itens + valor_frete (quando destacado). Gravado na emissão; nulo em rascunho.</t>
  </si>
  <si>
    <t xml:space="preserve">justificativa</t>
  </si>
  <si>
    <t xml:space="preserve">TEXT</t>
  </si>
  <si>
    <t xml:space="preserve">Motivo do cancelamento/recusa; opcional (aceita nulo ou vazio).</t>
  </si>
  <si>
    <t xml:space="preserve">chave_seguranca</t>
  </si>
  <si>
    <t xml:space="preserve">VARCHAR(64)</t>
  </si>
  <si>
    <t xml:space="preserve">Hash/código antifraude gerado na emissão; nulo enquanto for rascunho.</t>
  </si>
  <si>
    <t xml:space="preserve">id_item</t>
  </si>
  <si>
    <t xml:space="preserve">Identificador do item (auto-incremento).</t>
  </si>
  <si>
    <t xml:space="preserve">Orçamento a que o item pertence.</t>
  </si>
  <si>
    <t xml:space="preserve">Variação de produto cotada.</t>
  </si>
  <si>
    <t xml:space="preserve">granularidade</t>
  </si>
  <si>
    <t xml:space="preserve">FARDO ou AVULSO.</t>
  </si>
  <si>
    <t xml:space="preserve">fardo (id_fardo)</t>
  </si>
  <si>
    <t xml:space="preserve">Fardo escolhido; obrigatório quando granularidade = FARDO, nulo quando AVULSO.</t>
  </si>
  <si>
    <t xml:space="preserve">quantidade_fardos</t>
  </si>
  <si>
    <t xml:space="preserve">Quantidade de fardos, sempre inteira e maior que zero; só quando granularidade = FARDO.</t>
  </si>
  <si>
    <t xml:space="preserve">faixa_preco (id_faixa_preco)</t>
  </si>
  <si>
    <t xml:space="preserve">Faixa de preço aplicada; obrigatória quando granularidade = AVULSO, nula quando FARDO.</t>
  </si>
  <si>
    <t xml:space="preserve">quantidade_avulsa</t>
  </si>
  <si>
    <t xml:space="preserve">Quantidade avulsa, maior que zero; só quando granularidade = AVULSO.</t>
  </si>
  <si>
    <t xml:space="preserve">preco_unitario_aplicado</t>
  </si>
  <si>
    <t xml:space="preserve">Preço unitário efetivamente aplicado (do fardo ou da faixa), congelado na inclusão.</t>
  </si>
  <si>
    <t xml:space="preserve">valor_imposto</t>
  </si>
  <si>
    <t xml:space="preserve">Valor do imposto de 18% sobre o valor do item.</t>
  </si>
  <si>
    <t xml:space="preserve">valor_total_item</t>
  </si>
  <si>
    <t xml:space="preserve">Valor do item, já com o imposto incluso.</t>
  </si>
  <si>
    <t xml:space="preserve">aprovacao_herdada</t>
  </si>
  <si>
    <t xml:space="preserve">TRUE quando o item foi copiado de uma versão anterior já aprovada e não foi alterado; a aprovação exige nova confirmação do cliente. Padrão: FALSE.</t>
  </si>
  <si>
    <t xml:space="preserve">id_reserva</t>
  </si>
  <si>
    <t xml:space="preserve">Identificador da reserva (auto-incremento).</t>
  </si>
  <si>
    <t xml:space="preserve">item_orcamento (id_item)</t>
  </si>
  <si>
    <t xml:space="preserve">Item de orçamento ao qual a reserva pertence (1:1).</t>
  </si>
  <si>
    <t xml:space="preserve">quantidade_reservada</t>
  </si>
  <si>
    <t xml:space="preserve">Quantidade reservada em unidades físicas; maior que zero.</t>
  </si>
  <si>
    <t xml:space="preserve">CONFIRMADA (vigente, criada na emissão), BAIXADA (aceite consolidado; estoque físico baixado), LIBERADA (cancelamento, recusa, substituição ou item não aprovado) ou EXPIRADA (validade vencida). Padrão: CONFIRMADA.</t>
  </si>
  <si>
    <t xml:space="preserve">data_expiracao</t>
  </si>
  <si>
    <t xml:space="preserve">Data em que a reserva expira; igual à data_validade do orçamento.</t>
  </si>
  <si>
    <t xml:space="preserve">id_anexo</t>
  </si>
  <si>
    <t xml:space="preserve">Identificador do anexo (auto-incremento).</t>
  </si>
  <si>
    <t xml:space="preserve">Orçamento a que o anexo pertence.</t>
  </si>
  <si>
    <t xml:space="preserve">tipo_anexo</t>
  </si>
  <si>
    <t xml:space="preserve">DESCRITIVO_TECNICO ou MATERIAL_APOIO.</t>
  </si>
  <si>
    <t xml:space="preserve">nome_arquivo</t>
  </si>
  <si>
    <t xml:space="preserve">Nome original do arquivo.</t>
  </si>
  <si>
    <t xml:space="preserve">caminho_arquivo</t>
  </si>
  <si>
    <t xml:space="preserve">VARCHAR(500)</t>
  </si>
  <si>
    <t xml:space="preserve">Caminho/URL do arquivo no armazenamento.</t>
  </si>
  <si>
    <t xml:space="preserve">tamanho_bytes</t>
  </si>
  <si>
    <t xml:space="preserve">Tamanho do arquivo, exibido na lista de anexos.</t>
  </si>
  <si>
    <t xml:space="preserve">data_anexo</t>
  </si>
  <si>
    <t xml:space="preserve">Data e hora do anexo. Padrão: momento atual.</t>
  </si>
  <si>
    <t xml:space="preserve">id_analise</t>
  </si>
  <si>
    <t xml:space="preserve">Identificador da análise (auto-incremento).</t>
  </si>
  <si>
    <t xml:space="preserve">Cliente analisado.</t>
  </si>
  <si>
    <t xml:space="preserve">Orçamento que motivou a análise; opcional.</t>
  </si>
  <si>
    <t xml:space="preserve">data_solicitacao</t>
  </si>
  <si>
    <t xml:space="preserve">Data de abertura da análise. Padrão: data atual.</t>
  </si>
  <si>
    <t xml:space="preserve">resultado</t>
  </si>
  <si>
    <t xml:space="preserve">APROVADO ou REPROVADO; nulo enquanto pendente.</t>
  </si>
  <si>
    <t xml:space="preserve">data_analise</t>
  </si>
  <si>
    <t xml:space="preserve">Data da conclusão; nula enquanto pendente.</t>
  </si>
  <si>
    <t xml:space="preserve">id_operador_fiscal</t>
  </si>
  <si>
    <t xml:space="preserve">Usuário (perfil FISCAL) que registrou o resultado; nulo enquanto pendente.</t>
  </si>
  <si>
    <t xml:space="preserve">id_documento</t>
  </si>
  <si>
    <t xml:space="preserve">Identificador do documento (auto-incremento).</t>
  </si>
  <si>
    <t xml:space="preserve">analise_credito (id_analise)</t>
  </si>
  <si>
    <t xml:space="preserve">Análise de crédito a que o documento pertence.</t>
  </si>
  <si>
    <t xml:space="preserve">tipo_documento</t>
  </si>
  <si>
    <t xml:space="preserve">VARCHAR(25)</t>
  </si>
  <si>
    <t xml:space="preserve">CONTRATO_SOCIAL, BALANCO_LUCRO, COMPROVANTE_ENDERECO, DOCUMENTO_PROPRIETARIO, NOTA_FISCAL_COMPRA ou REFERENCIA_COMERCIAL.</t>
  </si>
  <si>
    <t xml:space="preserve">data_recebimento</t>
  </si>
  <si>
    <t xml:space="preserve">Data de recebimento. Padrão: data atual.</t>
  </si>
  <si>
    <t xml:space="preserve">id_divida</t>
  </si>
  <si>
    <t xml:space="preserve">Identificador da dívida (auto-incremento).</t>
  </si>
  <si>
    <t xml:space="preserve">Cliente devedor.</t>
  </si>
  <si>
    <t xml:space="preserve">id_operador_registro</t>
  </si>
  <si>
    <t xml:space="preserve">Usuário (perfil FINANCEIRO) que registrou a dívida.</t>
  </si>
  <si>
    <t xml:space="preserve">valor_divida</t>
  </si>
  <si>
    <t xml:space="preserve">Valor da dívida; maior que zero.</t>
  </si>
  <si>
    <t xml:space="preserve">VARCHAR(12)</t>
  </si>
  <si>
    <t xml:space="preserve">EM_ABERTO, RENEGOCIADA, QUITADA ou PROTESTADA. Padrão: EM_ABERTO.</t>
  </si>
  <si>
    <t xml:space="preserve">data_vencimento_original</t>
  </si>
  <si>
    <t xml:space="preserve">Data de vencimento original da dívida.</t>
  </si>
  <si>
    <t xml:space="preserve">data_renegociacao</t>
  </si>
  <si>
    <t xml:space="preserve">Data da renegociação; preenchida junto com valor_pago_renegociacao.</t>
  </si>
  <si>
    <t xml:space="preserve">valor_pago_renegociacao</t>
  </si>
  <si>
    <t xml:space="preserve">Valor pago na renegociação; mínimo 50% de valor_divida.</t>
  </si>
  <si>
    <t xml:space="preserve">data_protesto</t>
  </si>
  <si>
    <t xml:space="preserve">Data do protesto; só preenchida quando status = PROTESTADA, após 60 dias de atraso.</t>
  </si>
  <si>
    <t xml:space="preserve">id_historico</t>
  </si>
  <si>
    <t xml:space="preserve">Identificador do registro (auto-incremento).</t>
  </si>
  <si>
    <t xml:space="preserve">Orçamento acompanhado.</t>
  </si>
  <si>
    <t xml:space="preserve">Autor do registro; nulo em ações automáticas do sistema.</t>
  </si>
  <si>
    <t xml:space="preserve">tipo_evento</t>
  </si>
  <si>
    <t xml:space="preserve">MUDANCA_STATUS ou ATUALIZACAO_FOLLOWUP.</t>
  </si>
  <si>
    <t xml:space="preserve">status_anterior</t>
  </si>
  <si>
    <t xml:space="preserve">Status antes do evento.</t>
  </si>
  <si>
    <t xml:space="preserve">status_novo</t>
  </si>
  <si>
    <t xml:space="preserve">Status depois do evento (igual ao anterior quando o status é mantido).</t>
  </si>
  <si>
    <t xml:space="preserve">observacao</t>
  </si>
  <si>
    <t xml:space="preserve">Observação livre do vendedor/operador.</t>
  </si>
  <si>
    <t xml:space="preserve">data_registro</t>
  </si>
  <si>
    <t xml:space="preserve">Data e hora do registro. Padrão: momento atual.</t>
  </si>
  <si>
    <t xml:space="preserve">id_entrada</t>
  </si>
  <si>
    <t xml:space="preserve">Identificador da entrada (auto-incremento).</t>
  </si>
  <si>
    <t xml:space="preserve">Variação de produto recebida.</t>
  </si>
  <si>
    <t xml:space="preserve">id_fornecedor</t>
  </si>
  <si>
    <t xml:space="preserve">fornecedor (id_fornecedor)</t>
  </si>
  <si>
    <t xml:space="preserve">Fornecedor que entregou a mercadoria.</t>
  </si>
  <si>
    <t xml:space="preserve">Operador que registrou a entrada.</t>
  </si>
  <si>
    <t xml:space="preserve">numero_cotacao_compra</t>
  </si>
  <si>
    <t xml:space="preserve">Referência da cotação de compra (fluxo externo ao Sistema 2).</t>
  </si>
  <si>
    <t xml:space="preserve">quantidade_comprada</t>
  </si>
  <si>
    <t xml:space="preserve">Quantidade comprada junto ao fornecedor; maior que zero.</t>
  </si>
  <si>
    <t xml:space="preserve">quantidade_informada</t>
  </si>
  <si>
    <t xml:space="preserve">Quantidade digitada pelo operador; maior que zero.</t>
  </si>
  <si>
    <t xml:space="preserve">data_entrada</t>
  </si>
  <si>
    <t xml:space="preserve">Data e hora da entrada. Padrão: momento atual.</t>
  </si>
  <si>
    <t xml:space="preserve">id_operador_liberacao</t>
  </si>
  <si>
    <t xml:space="preserve">Operador chefe que liberou a divergência; nulo se não houve divergência.</t>
  </si>
  <si>
    <t xml:space="preserve">data_liberacao</t>
  </si>
  <si>
    <t xml:space="preserve">Data e hora da liberação; obrigatória se houve divergência.</t>
  </si>
  <si>
    <t xml:space="preserve">Identificador do fornecedor (auto-incremento).</t>
  </si>
  <si>
    <t xml:space="preserve">Nome do contato.</t>
  </si>
  <si>
    <t xml:space="preserve">Identificador do pedido (auto-incremento).</t>
  </si>
  <si>
    <t xml:space="preserve">Cliente do pedido.</t>
  </si>
  <si>
    <t xml:space="preserve">Vendedor que registrou o pedido no Sistema 1.</t>
  </si>
  <si>
    <t xml:space="preserve">Local de entrega desejado; opcional.</t>
  </si>
  <si>
    <t xml:space="preserve">Contato específico do cliente.</t>
  </si>
  <si>
    <t xml:space="preserve">condicao_pagamento_desejada</t>
  </si>
  <si>
    <t xml:space="preserve">ADIANTADO_100, BOLETO, PARCELADO ou ADIANTADO_50_50; opcional. A condição efetiva é definida pelo Sistema 2 conforme a seção 4.</t>
  </si>
  <si>
    <t xml:space="preserve">prazo_dias_desejado</t>
  </si>
  <si>
    <t xml:space="preserve">Prazo de boleto desejado (10, 15, 20, 28 ou 30 dias); opcional.</t>
  </si>
  <si>
    <t xml:space="preserve">numero_parcelas_desejado</t>
  </si>
  <si>
    <t xml:space="preserve">Número de parcelas desejado (maior que 1); opcional.</t>
  </si>
  <si>
    <t xml:space="preserve">transportadora_indicada</t>
  </si>
  <si>
    <t xml:space="preserve">Transportadora indicada pelo cliente (frete FOB), se houver; opcional.</t>
  </si>
  <si>
    <t xml:space="preserve">observacoes</t>
  </si>
  <si>
    <t xml:space="preserve">Observações do vendedor para o operador; opcional.</t>
  </si>
  <si>
    <t xml:space="preserve">SOLICITADO, EM_ANALISE, APROVADO, NEGADO ou CANCELADO. Padrão: SOLICITADO.</t>
  </si>
  <si>
    <t xml:space="preserve">motivo_negativa</t>
  </si>
  <si>
    <t xml:space="preserve">Motivo da negativa do pedido; obrigatório quando status = NEGADO.</t>
  </si>
  <si>
    <t xml:space="preserve">id_operador_atendimento</t>
  </si>
  <si>
    <t xml:space="preserve">Operador do Sistema 2 que assumiu o pedido para análise; nulo até então.</t>
  </si>
  <si>
    <t xml:space="preserve">data_decisao</t>
  </si>
  <si>
    <t xml:space="preserve">Data e hora da aprovação (emissão do orçamento) ou da negativa; nula até a decisão.</t>
  </si>
  <si>
    <t xml:space="preserve">id_item_pedido</t>
  </si>
  <si>
    <t xml:space="preserve">Identificador do item do pedido (auto-incremento).</t>
  </si>
  <si>
    <t xml:space="preserve">Pedido a que o item pertence.</t>
  </si>
  <si>
    <t xml:space="preserve">Variação de produto desejada.</t>
  </si>
  <si>
    <t xml:space="preserve">Fardo desejado; obrigatório quando granularidade = FARDO, nulo quando AVULSO.</t>
  </si>
  <si>
    <t xml:space="preserve">quantidade_solicitada</t>
  </si>
  <si>
    <t xml:space="preserve">Quantidade de fardos ou de unidades avulsas; maior que zero.</t>
  </si>
  <si>
    <t xml:space="preserve">id_resposta</t>
  </si>
  <si>
    <t xml:space="preserve">Identificador da resposta (auto-incremento).</t>
  </si>
  <si>
    <t xml:space="preserve">Orçamento respondido.</t>
  </si>
  <si>
    <t xml:space="preserve">tipo_resposta</t>
  </si>
  <si>
    <t xml:space="preserve">ITENS (aprovação por item), RECUSA ou ALTERACAO.</t>
  </si>
  <si>
    <t xml:space="preserve">status_resposta</t>
  </si>
  <si>
    <t xml:space="preserve">PENDENTE (gravada pelo Sistema 1), CONSOLIDADA (processada), AGUARDA_OPERADOR (exige tratamento) ou TRATADA (operador concluiu). Padrão: PENDENTE.</t>
  </si>
  <si>
    <t xml:space="preserve">motivo_tratamento</t>
  </si>
  <si>
    <t xml:space="preserve">VARCHAR(22)</t>
  </si>
  <si>
    <t xml:space="preserve">Preenchido quando AGUARDA_OPERADOR: RECUSA, ALTERACAO, ITENS_NAO_APROVADOS ou ABAIXO_DO_MINIMO.</t>
  </si>
  <si>
    <t xml:space="preserve">Motivo da recusa ou do pedido de alteração; opcional (aceita nulo ou vazio).</t>
  </si>
  <si>
    <t xml:space="preserve">Vendedor que registrou a resposta no Sistema 1.</t>
  </si>
  <si>
    <t xml:space="preserve">data_resposta</t>
  </si>
  <si>
    <t xml:space="preserve">data_processamento</t>
  </si>
  <si>
    <t xml:space="preserve">Data e hora do processamento pelo Sistema 2; nula enquanto PENDENTE.</t>
  </si>
  <si>
    <t xml:space="preserve">id_operador_tratamento</t>
  </si>
  <si>
    <t xml:space="preserve">Operador que tratou a resposta; nulo enquanto não tratada.</t>
  </si>
  <si>
    <t xml:space="preserve">data_tratamento</t>
  </si>
  <si>
    <t xml:space="preserve">Data e hora do tratamento; nula enquanto não tratada.</t>
  </si>
  <si>
    <t xml:space="preserve">valor_total_itens_aprovado</t>
  </si>
  <si>
    <t xml:space="preserve">Soma dos totais dos itens aprovados, com imposto e sem frete; preenchida no processamento.</t>
  </si>
  <si>
    <t xml:space="preserve">valor_total_imposto_aprovado</t>
  </si>
  <si>
    <t xml:space="preserve">Soma do imposto dos itens aprovados.</t>
  </si>
  <si>
    <t xml:space="preserve">modalidade_frete_aceita</t>
  </si>
  <si>
    <t xml:space="preserve">CIF ou FOB, calculada sobre o total aceito; preenchida somente quando todos os itens estão aprovados.</t>
  </si>
  <si>
    <t xml:space="preserve">valor_frete_aceito</t>
  </si>
  <si>
    <t xml:space="preserve">Frete destacado sobre o total aceito; nulo quando CIF ou provisório.</t>
  </si>
  <si>
    <t xml:space="preserve">valor_total_aceito</t>
  </si>
  <si>
    <t xml:space="preserve">Valor final do orçamento aceito: itens aprovados + frete; preenchido no ACEITO. Base de “fechados no dia” e do faturamento (RF17).</t>
  </si>
  <si>
    <t xml:space="preserve">id_item_resposta</t>
  </si>
  <si>
    <t xml:space="preserve">Identificador do item da resposta (auto-incremento).</t>
  </si>
  <si>
    <t xml:space="preserve">resposta_orcamento (id_resposta)</t>
  </si>
  <si>
    <t xml:space="preserve">Resposta a que o item pertence.</t>
  </si>
  <si>
    <t xml:space="preserve">Item do orçamento respondido.</t>
  </si>
  <si>
    <t xml:space="preserve">quantidade_aprovada</t>
  </si>
  <si>
    <t xml:space="preserve">Quantidade (de fardos ou avulsa) aprovada; de 0 até a quantidade cotada. Zero equivale a item não aprovado.</t>
  </si>
  <si>
    <t xml:space="preserve">situacao</t>
  </si>
  <si>
    <t xml:space="preserve">APROVADO ou NAO_APROVADO.</t>
  </si>
  <si>
    <t xml:space="preserve">id_faixa_preco_aceita</t>
  </si>
  <si>
    <t xml:space="preserve">Faixa de preço reaplicada à quantidade aprovada (itens AVULSO); preenchida na consolidação.</t>
  </si>
  <si>
    <t xml:space="preserve">preco_unitario_aceito</t>
  </si>
  <si>
    <t xml:space="preserve">Preço unitário aplicado à quantidade aprovada; preenchido na consolidação.</t>
  </si>
  <si>
    <t xml:space="preserve">valor_imposto_aceito</t>
  </si>
  <si>
    <t xml:space="preserve">Imposto de 18% sobre o valor da linha aprovada, arredondado uma única vez por linha.</t>
  </si>
  <si>
    <t xml:space="preserve">valor_total_item_aceito</t>
  </si>
  <si>
    <t xml:space="preserve">Valor do item aprovado, já com o imposto incluso.</t>
  </si>
  <si>
    <t xml:space="preserve">id_movimentacao</t>
  </si>
  <si>
    <t xml:space="preserve">Identificador da movimentação (auto-incremento).</t>
  </si>
  <si>
    <t xml:space="preserve">Variação de produto movimentada.</t>
  </si>
  <si>
    <t xml:space="preserve">ENTRADA, BAIXA, AJUSTE ou ESTORNO.</t>
  </si>
  <si>
    <t xml:space="preserve">quantidade</t>
  </si>
  <si>
    <t xml:space="preserve">Quantidade em unidades físicas, diferente de zero: positiva soma ao estoque, negativa subtrai (a BAIXA é sempre negativa).</t>
  </si>
  <si>
    <t xml:space="preserve">Usuário que originou a movimentação; nulo nas baixas automáticas do aceite.</t>
  </si>
  <si>
    <t xml:space="preserve">Orçamento que originou a BAIXA; opcional.</t>
  </si>
  <si>
    <t xml:space="preserve">entrada_mercadoria (id_entrada)</t>
  </si>
  <si>
    <t xml:space="preserve">Entrada de mercadoria que originou a ENTRADA; opcional.</t>
  </si>
  <si>
    <t xml:space="preserve">motivo</t>
  </si>
  <si>
    <t xml:space="preserve">Motivo da movimentação; obrigatório no AJUSTE.</t>
  </si>
  <si>
    <t xml:space="preserve">data_movimentacao</t>
  </si>
  <si>
    <t xml:space="preserve">Data e hora da movimentação. Padrão: momento atual.</t>
  </si>
  <si>
    <t xml:space="preserve">Chaves estrangeiras do modelo lógico</t>
  </si>
  <si>
    <t xml:space="preserve">Relações 1:N (lado N = tabela que contém a FK). Exceção: item_orcamento → reserva_estoque é 1:1 (id_item é FK e UK em reserva_estoque).</t>
  </si>
  <si>
    <t xml:space="preserve">Tabela (lado N)</t>
  </si>
  <si>
    <t xml:space="preserve">Coluna (FK)</t>
  </si>
  <si>
    <t xml:space="preserve">Tabela referenciada (lado 1)</t>
  </si>
  <si>
    <t xml:space="preserve">Coluna referenciada</t>
  </si>
  <si>
    <t xml:space="preserve">Obrigatória</t>
  </si>
  <si>
    <t xml:space="preserve">Sim</t>
  </si>
  <si>
    <t xml:space="preserve">Não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</si>
</sst>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3" customFormat="false" ht="23.25" hidden="false" customHeight="true" outlineLevel="0" collapsed="false">
      <c r="A3" s="3" t="s">
        <v>1</v>
      </c>
      <c r="B3" s="4" t="s">
        <v>2</v>
      </c>
    </row>
    <row r="4" customFormat="false" ht="23.25" hidden="false" customHeight="true" outlineLevel="0" collapsed="false">
      <c r="A4" s="3" t="s">
        <v>3</v>
      </c>
      <c r="B4" s="4" t="s">
        <v>4</v>
      </c>
    </row>
    <row r="5" customFormat="false" ht="23.25" hidden="false" customHeight="true" outlineLevel="0" collapsed="false">
      <c r="A5" s="3" t="s">
        <v>5</v>
      </c>
      <c r="B5" s="4" t="s">
        <v>6</v>
      </c>
    </row>
    <row r="7" customFormat="false" ht="15" hidden="false" customHeight="true" outlineLevel="0" collapsed="false">
      <c r="A7" s="5" t="s">
        <v>7</v>
      </c>
      <c r="B7" s="6"/>
    </row>
    <row r="8" customFormat="false" ht="15" hidden="false" customHeight="true" outlineLevel="0" collapsed="false">
      <c r="A8" s="3" t="s">
        <v>8</v>
      </c>
      <c r="B8" s="4" t="s">
        <v>9</v>
      </c>
    </row>
    <row r="9" customFormat="false" ht="23.25" hidden="false" customHeight="true" outlineLevel="0" collapsed="false">
      <c r="A9" s="3" t="s">
        <v>10</v>
      </c>
      <c r="B9" s="4" t="s">
        <v>11</v>
      </c>
    </row>
    <row r="10" customFormat="false" ht="15" hidden="false" customHeight="true" outlineLevel="0" collapsed="false">
      <c r="A10" s="3" t="s">
        <v>12</v>
      </c>
      <c r="B10" s="4" t="s">
        <v>13</v>
      </c>
    </row>
    <row r="12" customFormat="false" ht="15" hidden="false" customHeight="true" outlineLevel="0" collapsed="false">
      <c r="A12" s="5" t="s">
        <v>14</v>
      </c>
      <c r="B12" s="6"/>
    </row>
    <row r="13" customFormat="false" ht="15" hidden="false" customHeight="true" outlineLevel="0" collapsed="false">
      <c r="A13" s="3" t="s">
        <v>15</v>
      </c>
      <c r="B13" s="4" t="s">
        <v>16</v>
      </c>
    </row>
    <row r="14" customFormat="false" ht="15" hidden="false" customHeight="true" outlineLevel="0" collapsed="false">
      <c r="A14" s="3" t="s">
        <v>17</v>
      </c>
      <c r="B14" s="4" t="s">
        <v>18</v>
      </c>
    </row>
    <row r="15" customFormat="false" ht="15" hidden="false" customHeight="true" outlineLevel="0" collapsed="false">
      <c r="A15" s="3" t="s">
        <v>19</v>
      </c>
      <c r="B15" s="4" t="s">
        <v>20</v>
      </c>
    </row>
    <row r="16" customFormat="false" ht="15" hidden="false" customHeight="true" outlineLevel="0" collapsed="false">
      <c r="A16" s="3" t="s">
        <v>21</v>
      </c>
      <c r="B16" s="4" t="s">
        <v>22</v>
      </c>
    </row>
    <row r="17" customFormat="false" ht="15" hidden="false" customHeight="true" outlineLevel="0" collapsed="false">
      <c r="A17" s="3" t="s">
        <v>23</v>
      </c>
      <c r="B17" s="4" t="s">
        <v>24</v>
      </c>
    </row>
    <row r="19" customFormat="false" ht="15" hidden="false" customHeight="true" outlineLevel="0" collapsed="false">
      <c r="A19" s="5" t="s">
        <v>25</v>
      </c>
      <c r="B19" s="6"/>
    </row>
    <row r="20" customFormat="false" ht="15" hidden="false" customHeight="true" outlineLevel="0" collapsed="false">
      <c r="A20" s="3" t="s">
        <v>26</v>
      </c>
      <c r="B20" s="4" t="s">
        <v>27</v>
      </c>
    </row>
    <row r="21" customFormat="false" ht="23.25" hidden="false" customHeight="true" outlineLevel="0" collapsed="false">
      <c r="A21" s="3" t="s">
        <v>28</v>
      </c>
      <c r="B21" s="4" t="s">
        <v>29</v>
      </c>
    </row>
    <row r="22" customFormat="false" ht="15" hidden="false" customHeight="true" outlineLevel="0" collapsed="false">
      <c r="A22" s="3" t="s">
        <v>30</v>
      </c>
      <c r="B22" s="4" t="s">
        <v>31</v>
      </c>
    </row>
    <row r="24" customFormat="false" ht="15" hidden="false" customHeight="true" outlineLevel="0" collapsed="false">
      <c r="A24" s="5" t="s">
        <v>32</v>
      </c>
      <c r="B24" s="6"/>
    </row>
    <row r="25" customFormat="false" ht="15" hidden="false" customHeight="true" outlineLevel="0" collapsed="false">
      <c r="A25" s="3" t="s">
        <v>33</v>
      </c>
      <c r="B25" s="7" t="n">
        <f aca="false">COUNTA(Entidades!$C$5:$C$26)</f>
        <v>22</v>
      </c>
    </row>
    <row r="26" customFormat="false" ht="15" hidden="false" customHeight="true" outlineLevel="0" collapsed="false">
      <c r="A26" s="3" t="s">
        <v>10</v>
      </c>
      <c r="B26" s="7" t="n">
        <f aca="false">COUNTA(Colunas!$C$2:$C$213)</f>
        <v>212</v>
      </c>
    </row>
    <row r="27" customFormat="false" ht="15" hidden="false" customHeight="true" outlineLevel="0" collapsed="false">
      <c r="A27" s="3" t="s">
        <v>34</v>
      </c>
      <c r="B27" s="7" t="n">
        <f aca="false">COUNTA('Chaves Estrangeiras'!$C$5:$C$49)</f>
        <v>45</v>
      </c>
    </row>
    <row r="28" customFormat="false" ht="15" hidden="false" customHeight="true" outlineLevel="0" collapsed="false">
      <c r="A28" s="3" t="s">
        <v>35</v>
      </c>
      <c r="B28" s="8" t="str">
        <f aca="false">IF(AND(B25=22,B26=212,B27=45,Entidades!$E$27=B26,Entidades!$F$27=B27),"OK","DIVERGENTE")</f>
        <v>OK</v>
      </c>
    </row>
    <row r="29" customFormat="false" ht="34.5" hidden="false" customHeight="true" outlineLevel="0" collapsed="false">
      <c r="A29" s="3" t="s">
        <v>36</v>
      </c>
      <c r="B29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52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8" min="8" style="1" width="26"/>
    <col collapsed="false" customWidth="true" hidden="false" outlineLevel="0" max="9" min="9" style="1" width="28"/>
    <col collapsed="false" customWidth="true" hidden="false" outlineLevel="0" max="10" min="10" style="1" width="26"/>
    <col collapsed="false" customWidth="true" hidden="false" outlineLevel="0" max="11" min="11" style="1" width="52"/>
  </cols>
  <sheetData>
    <row r="1" customFormat="false" ht="17.25" hidden="false" customHeight="true" outlineLevel="0" collapsed="false">
      <c r="A1" s="2" t="s">
        <v>38</v>
      </c>
    </row>
    <row r="2" customFormat="false" ht="15" hidden="false" customHeight="true" outlineLevel="0" collapsed="false">
      <c r="A2" s="9" t="s">
        <v>39</v>
      </c>
    </row>
    <row r="4" customFormat="false" ht="33.75" hidden="false" customHeight="true" outlineLevel="0" collapsed="false">
      <c r="A4" s="10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</row>
    <row r="5" customFormat="false" ht="45.75" hidden="false" customHeight="true" outlineLevel="0" collapsed="false">
      <c r="A5" s="11" t="n">
        <v>1</v>
      </c>
      <c r="B5" s="12" t="s">
        <v>51</v>
      </c>
      <c r="C5" s="13" t="s">
        <v>52</v>
      </c>
      <c r="D5" s="12" t="s">
        <v>53</v>
      </c>
      <c r="E5" s="11" t="n">
        <f aca="false">COUNTIF(Colunas!$A$2:$A$213,C5)</f>
        <v>11</v>
      </c>
      <c r="F5" s="11" t="n">
        <f aca="false">COUNTIFS(Colunas!$A$2:$A$213,C5,Colunas!$F$2:$F$213,"X")</f>
        <v>0</v>
      </c>
      <c r="G5" s="11" t="n">
        <f aca="false">COUNTIFS(Colunas!$A$2:$A$213,C5,Colunas!$I$2:$I$213,"X")</f>
        <v>3</v>
      </c>
      <c r="H5" s="12" t="s">
        <v>54</v>
      </c>
      <c r="I5" s="12" t="s">
        <v>55</v>
      </c>
      <c r="J5" s="12" t="s">
        <v>54</v>
      </c>
      <c r="K5" s="12" t="s">
        <v>56</v>
      </c>
    </row>
    <row r="6" customFormat="false" ht="23.25" hidden="false" customHeight="true" outlineLevel="0" collapsed="false">
      <c r="A6" s="11" t="n">
        <v>2</v>
      </c>
      <c r="B6" s="12" t="s">
        <v>57</v>
      </c>
      <c r="C6" s="13" t="s">
        <v>58</v>
      </c>
      <c r="D6" s="12" t="s">
        <v>59</v>
      </c>
      <c r="E6" s="11" t="n">
        <f aca="false">COUNTIF(Colunas!$A$2:$A$213,C6)</f>
        <v>13</v>
      </c>
      <c r="F6" s="11" t="n">
        <f aca="false">COUNTIFS(Colunas!$A$2:$A$213,C6,Colunas!$F$2:$F$213,"X")</f>
        <v>1</v>
      </c>
      <c r="G6" s="11" t="n">
        <f aca="false">COUNTIFS(Colunas!$A$2:$A$213,C6,Colunas!$I$2:$I$213,"X")</f>
        <v>3</v>
      </c>
      <c r="H6" s="12" t="s">
        <v>60</v>
      </c>
      <c r="I6" s="12" t="s">
        <v>61</v>
      </c>
      <c r="J6" s="12" t="s">
        <v>62</v>
      </c>
      <c r="K6" s="12" t="s">
        <v>63</v>
      </c>
    </row>
    <row r="7" customFormat="false" ht="23.25" hidden="false" customHeight="true" outlineLevel="0" collapsed="false">
      <c r="A7" s="11" t="n">
        <v>3</v>
      </c>
      <c r="B7" s="12" t="s">
        <v>64</v>
      </c>
      <c r="C7" s="13" t="s">
        <v>65</v>
      </c>
      <c r="D7" s="12" t="s">
        <v>66</v>
      </c>
      <c r="E7" s="11" t="n">
        <f aca="false">COUNTIF(Colunas!$A$2:$A$213,C7)</f>
        <v>10</v>
      </c>
      <c r="F7" s="11" t="n">
        <f aca="false">COUNTIFS(Colunas!$A$2:$A$213,C7,Colunas!$F$2:$F$213,"X")</f>
        <v>1</v>
      </c>
      <c r="G7" s="11" t="n">
        <f aca="false">COUNTIFS(Colunas!$A$2:$A$213,C7,Colunas!$I$2:$I$213,"X")</f>
        <v>1</v>
      </c>
      <c r="H7" s="12" t="s">
        <v>60</v>
      </c>
      <c r="I7" s="12" t="s">
        <v>61</v>
      </c>
      <c r="J7" s="12" t="s">
        <v>62</v>
      </c>
      <c r="K7" s="12" t="s">
        <v>67</v>
      </c>
    </row>
    <row r="8" customFormat="false" ht="23.25" hidden="false" customHeight="true" outlineLevel="0" collapsed="false">
      <c r="A8" s="11" t="n">
        <v>4</v>
      </c>
      <c r="B8" s="12" t="s">
        <v>68</v>
      </c>
      <c r="C8" s="13" t="s">
        <v>69</v>
      </c>
      <c r="D8" s="12" t="s">
        <v>70</v>
      </c>
      <c r="E8" s="11" t="n">
        <f aca="false">COUNTIF(Colunas!$A$2:$A$213,C8)</f>
        <v>7</v>
      </c>
      <c r="F8" s="11" t="n">
        <f aca="false">COUNTIFS(Colunas!$A$2:$A$213,C8,Colunas!$F$2:$F$213,"X")</f>
        <v>0</v>
      </c>
      <c r="G8" s="11" t="n">
        <f aca="false">COUNTIFS(Colunas!$A$2:$A$213,C8,Colunas!$I$2:$I$213,"X")</f>
        <v>0</v>
      </c>
      <c r="H8" s="12" t="s">
        <v>71</v>
      </c>
      <c r="I8" s="12" t="s">
        <v>61</v>
      </c>
      <c r="J8" s="12" t="s">
        <v>72</v>
      </c>
      <c r="K8" s="12" t="s">
        <v>73</v>
      </c>
    </row>
    <row r="9" customFormat="false" ht="45.75" hidden="false" customHeight="true" outlineLevel="0" collapsed="false">
      <c r="A9" s="11" t="n">
        <v>5</v>
      </c>
      <c r="B9" s="12" t="s">
        <v>74</v>
      </c>
      <c r="C9" s="13" t="s">
        <v>75</v>
      </c>
      <c r="D9" s="12" t="s">
        <v>76</v>
      </c>
      <c r="E9" s="11" t="n">
        <f aca="false">COUNTIF(Colunas!$A$2:$A$213,C9)</f>
        <v>5</v>
      </c>
      <c r="F9" s="11" t="n">
        <f aca="false">COUNTIFS(Colunas!$A$2:$A$213,C9,Colunas!$F$2:$F$213,"X")</f>
        <v>1</v>
      </c>
      <c r="G9" s="11" t="n">
        <f aca="false">COUNTIFS(Colunas!$A$2:$A$213,C9,Colunas!$I$2:$I$213,"X")</f>
        <v>1</v>
      </c>
      <c r="H9" s="12" t="s">
        <v>71</v>
      </c>
      <c r="I9" s="12" t="s">
        <v>61</v>
      </c>
      <c r="J9" s="12" t="s">
        <v>72</v>
      </c>
      <c r="K9" s="12" t="s">
        <v>77</v>
      </c>
    </row>
    <row r="10" customFormat="false" ht="34.5" hidden="false" customHeight="true" outlineLevel="0" collapsed="false">
      <c r="A10" s="11" t="n">
        <v>6</v>
      </c>
      <c r="B10" s="12" t="s">
        <v>78</v>
      </c>
      <c r="C10" s="13" t="s">
        <v>79</v>
      </c>
      <c r="D10" s="12" t="s">
        <v>80</v>
      </c>
      <c r="E10" s="11" t="n">
        <f aca="false">COUNTIF(Colunas!$A$2:$A$213,C10)</f>
        <v>4</v>
      </c>
      <c r="F10" s="11" t="n">
        <f aca="false">COUNTIFS(Colunas!$A$2:$A$213,C10,Colunas!$F$2:$F$213,"X")</f>
        <v>1</v>
      </c>
      <c r="G10" s="11" t="n">
        <f aca="false">COUNTIFS(Colunas!$A$2:$A$213,C10,Colunas!$I$2:$I$213,"X")</f>
        <v>2</v>
      </c>
      <c r="H10" s="12" t="s">
        <v>71</v>
      </c>
      <c r="I10" s="12" t="s">
        <v>61</v>
      </c>
      <c r="J10" s="12" t="s">
        <v>72</v>
      </c>
      <c r="K10" s="12" t="s">
        <v>81</v>
      </c>
    </row>
    <row r="11" customFormat="false" ht="34.5" hidden="false" customHeight="true" outlineLevel="0" collapsed="false">
      <c r="A11" s="11" t="n">
        <v>7</v>
      </c>
      <c r="B11" s="12" t="s">
        <v>82</v>
      </c>
      <c r="C11" s="13" t="s">
        <v>83</v>
      </c>
      <c r="D11" s="12" t="s">
        <v>84</v>
      </c>
      <c r="E11" s="11" t="n">
        <f aca="false">COUNTIF(Colunas!$A$2:$A$213,C11)</f>
        <v>4</v>
      </c>
      <c r="F11" s="11" t="n">
        <f aca="false">COUNTIFS(Colunas!$A$2:$A$213,C11,Colunas!$F$2:$F$213,"X")</f>
        <v>1</v>
      </c>
      <c r="G11" s="11" t="n">
        <f aca="false">COUNTIFS(Colunas!$A$2:$A$213,C11,Colunas!$I$2:$I$213,"X")</f>
        <v>2</v>
      </c>
      <c r="H11" s="12" t="s">
        <v>71</v>
      </c>
      <c r="I11" s="12" t="s">
        <v>61</v>
      </c>
      <c r="J11" s="12" t="s">
        <v>72</v>
      </c>
      <c r="K11" s="12" t="s">
        <v>85</v>
      </c>
    </row>
    <row r="12" customFormat="false" ht="45.75" hidden="false" customHeight="true" outlineLevel="0" collapsed="false">
      <c r="A12" s="11" t="n">
        <v>8</v>
      </c>
      <c r="B12" s="12" t="s">
        <v>86</v>
      </c>
      <c r="C12" s="13" t="s">
        <v>87</v>
      </c>
      <c r="D12" s="12" t="s">
        <v>88</v>
      </c>
      <c r="E12" s="11" t="n">
        <f aca="false">COUNTIF(Colunas!$A$2:$A$213,C12)</f>
        <v>31</v>
      </c>
      <c r="F12" s="11" t="n">
        <f aca="false">COUNTIFS(Colunas!$A$2:$A$213,C12,Colunas!$F$2:$F$213,"X")</f>
        <v>5</v>
      </c>
      <c r="G12" s="11" t="n">
        <f aca="false">COUNTIFS(Colunas!$A$2:$A$213,C12,Colunas!$I$2:$I$213,"X")</f>
        <v>15</v>
      </c>
      <c r="H12" s="12" t="s">
        <v>89</v>
      </c>
      <c r="I12" s="12" t="s">
        <v>90</v>
      </c>
      <c r="J12" s="12" t="s">
        <v>91</v>
      </c>
      <c r="K12" s="12" t="s">
        <v>92</v>
      </c>
    </row>
    <row r="13" customFormat="false" ht="23.25" hidden="false" customHeight="true" outlineLevel="0" collapsed="false">
      <c r="A13" s="11" t="n">
        <v>9</v>
      </c>
      <c r="B13" s="12" t="s">
        <v>93</v>
      </c>
      <c r="C13" s="13" t="s">
        <v>94</v>
      </c>
      <c r="D13" s="12" t="s">
        <v>95</v>
      </c>
      <c r="E13" s="11" t="n">
        <f aca="false">COUNTIF(Colunas!$A$2:$A$213,C13)</f>
        <v>12</v>
      </c>
      <c r="F13" s="11" t="n">
        <f aca="false">COUNTIFS(Colunas!$A$2:$A$213,C13,Colunas!$F$2:$F$213,"X")</f>
        <v>4</v>
      </c>
      <c r="G13" s="11" t="n">
        <f aca="false">COUNTIFS(Colunas!$A$2:$A$213,C13,Colunas!$I$2:$I$213,"X")</f>
        <v>8</v>
      </c>
      <c r="H13" s="12" t="s">
        <v>89</v>
      </c>
      <c r="I13" s="12" t="s">
        <v>90</v>
      </c>
      <c r="J13" s="12" t="s">
        <v>91</v>
      </c>
      <c r="K13" s="12" t="s">
        <v>96</v>
      </c>
    </row>
    <row r="14" customFormat="false" ht="34.5" hidden="false" customHeight="true" outlineLevel="0" collapsed="false">
      <c r="A14" s="11" t="n">
        <v>10</v>
      </c>
      <c r="B14" s="12" t="s">
        <v>97</v>
      </c>
      <c r="C14" s="13" t="s">
        <v>98</v>
      </c>
      <c r="D14" s="12" t="s">
        <v>99</v>
      </c>
      <c r="E14" s="11" t="n">
        <f aca="false">COUNTIF(Colunas!$A$2:$A$213,C14)</f>
        <v>5</v>
      </c>
      <c r="F14" s="11" t="n">
        <f aca="false">COUNTIFS(Colunas!$A$2:$A$213,C14,Colunas!$F$2:$F$213,"X")</f>
        <v>1</v>
      </c>
      <c r="G14" s="11" t="n">
        <f aca="false">COUNTIFS(Colunas!$A$2:$A$213,C14,Colunas!$I$2:$I$213,"X")</f>
        <v>2</v>
      </c>
      <c r="H14" s="12" t="s">
        <v>89</v>
      </c>
      <c r="I14" s="12" t="s">
        <v>90</v>
      </c>
      <c r="J14" s="12" t="s">
        <v>91</v>
      </c>
      <c r="K14" s="12" t="s">
        <v>100</v>
      </c>
    </row>
    <row r="15" customFormat="false" ht="23.25" hidden="false" customHeight="true" outlineLevel="0" collapsed="false">
      <c r="A15" s="11" t="n">
        <v>11</v>
      </c>
      <c r="B15" s="12" t="s">
        <v>101</v>
      </c>
      <c r="C15" s="13" t="s">
        <v>102</v>
      </c>
      <c r="D15" s="12" t="s">
        <v>103</v>
      </c>
      <c r="E15" s="11" t="n">
        <f aca="false">COUNTIF(Colunas!$A$2:$A$213,C15)</f>
        <v>7</v>
      </c>
      <c r="F15" s="11" t="n">
        <f aca="false">COUNTIFS(Colunas!$A$2:$A$213,C15,Colunas!$F$2:$F$213,"X")</f>
        <v>1</v>
      </c>
      <c r="G15" s="11" t="n">
        <f aca="false">COUNTIFS(Colunas!$A$2:$A$213,C15,Colunas!$I$2:$I$213,"X")</f>
        <v>1</v>
      </c>
      <c r="H15" s="12" t="s">
        <v>104</v>
      </c>
      <c r="I15" s="12" t="s">
        <v>61</v>
      </c>
      <c r="J15" s="12" t="s">
        <v>105</v>
      </c>
      <c r="K15" s="12" t="s">
        <v>106</v>
      </c>
    </row>
    <row r="16" customFormat="false" ht="23.25" hidden="false" customHeight="true" outlineLevel="0" collapsed="false">
      <c r="A16" s="11" t="n">
        <v>12</v>
      </c>
      <c r="B16" s="12" t="s">
        <v>107</v>
      </c>
      <c r="C16" s="13" t="s">
        <v>108</v>
      </c>
      <c r="D16" s="12" t="s">
        <v>109</v>
      </c>
      <c r="E16" s="11" t="n">
        <f aca="false">COUNTIF(Colunas!$A$2:$A$213,C16)</f>
        <v>7</v>
      </c>
      <c r="F16" s="11" t="n">
        <f aca="false">COUNTIFS(Colunas!$A$2:$A$213,C16,Colunas!$F$2:$F$213,"X")</f>
        <v>3</v>
      </c>
      <c r="G16" s="11" t="n">
        <f aca="false">COUNTIFS(Colunas!$A$2:$A$213,C16,Colunas!$I$2:$I$213,"X")</f>
        <v>2</v>
      </c>
      <c r="H16" s="12" t="s">
        <v>104</v>
      </c>
      <c r="I16" s="12" t="s">
        <v>61</v>
      </c>
      <c r="J16" s="12" t="s">
        <v>105</v>
      </c>
      <c r="K16" s="12" t="s">
        <v>110</v>
      </c>
    </row>
    <row r="17" customFormat="false" ht="23.25" hidden="false" customHeight="true" outlineLevel="0" collapsed="false">
      <c r="A17" s="11" t="n">
        <v>13</v>
      </c>
      <c r="B17" s="12" t="s">
        <v>111</v>
      </c>
      <c r="C17" s="13" t="s">
        <v>112</v>
      </c>
      <c r="D17" s="12" t="s">
        <v>113</v>
      </c>
      <c r="E17" s="11" t="n">
        <f aca="false">COUNTIF(Colunas!$A$2:$A$213,C17)</f>
        <v>6</v>
      </c>
      <c r="F17" s="11" t="n">
        <f aca="false">COUNTIFS(Colunas!$A$2:$A$213,C17,Colunas!$F$2:$F$213,"X")</f>
        <v>1</v>
      </c>
      <c r="G17" s="11" t="n">
        <f aca="false">COUNTIFS(Colunas!$A$2:$A$213,C17,Colunas!$I$2:$I$213,"X")</f>
        <v>1</v>
      </c>
      <c r="H17" s="12" t="s">
        <v>104</v>
      </c>
      <c r="I17" s="12" t="s">
        <v>61</v>
      </c>
      <c r="J17" s="12" t="s">
        <v>105</v>
      </c>
      <c r="K17" s="12" t="s">
        <v>114</v>
      </c>
    </row>
    <row r="18" customFormat="false" ht="34.5" hidden="false" customHeight="true" outlineLevel="0" collapsed="false">
      <c r="A18" s="11" t="n">
        <v>14</v>
      </c>
      <c r="B18" s="12" t="s">
        <v>115</v>
      </c>
      <c r="C18" s="13" t="s">
        <v>116</v>
      </c>
      <c r="D18" s="12" t="s">
        <v>117</v>
      </c>
      <c r="E18" s="11" t="n">
        <f aca="false">COUNTIF(Colunas!$A$2:$A$213,C18)</f>
        <v>9</v>
      </c>
      <c r="F18" s="11" t="n">
        <f aca="false">COUNTIFS(Colunas!$A$2:$A$213,C18,Colunas!$F$2:$F$213,"X")</f>
        <v>2</v>
      </c>
      <c r="G18" s="11" t="n">
        <f aca="false">COUNTIFS(Colunas!$A$2:$A$213,C18,Colunas!$I$2:$I$213,"X")</f>
        <v>5</v>
      </c>
      <c r="H18" s="12" t="s">
        <v>105</v>
      </c>
      <c r="I18" s="12" t="s">
        <v>118</v>
      </c>
      <c r="J18" s="12" t="s">
        <v>119</v>
      </c>
      <c r="K18" s="12" t="s">
        <v>120</v>
      </c>
    </row>
    <row r="19" customFormat="false" ht="23.25" hidden="false" customHeight="true" outlineLevel="0" collapsed="false">
      <c r="A19" s="11" t="n">
        <v>15</v>
      </c>
      <c r="B19" s="12" t="s">
        <v>121</v>
      </c>
      <c r="C19" s="13" t="s">
        <v>122</v>
      </c>
      <c r="D19" s="12" t="s">
        <v>123</v>
      </c>
      <c r="E19" s="11" t="n">
        <f aca="false">COUNTIF(Colunas!$A$2:$A$213,C19)</f>
        <v>8</v>
      </c>
      <c r="F19" s="11" t="n">
        <f aca="false">COUNTIFS(Colunas!$A$2:$A$213,C19,Colunas!$F$2:$F$213,"X")</f>
        <v>2</v>
      </c>
      <c r="G19" s="11" t="n">
        <f aca="false">COUNTIFS(Colunas!$A$2:$A$213,C19,Colunas!$I$2:$I$213,"X")</f>
        <v>1</v>
      </c>
      <c r="H19" s="12" t="s">
        <v>89</v>
      </c>
      <c r="I19" s="12" t="s">
        <v>90</v>
      </c>
      <c r="J19" s="12" t="s">
        <v>91</v>
      </c>
      <c r="K19" s="12" t="s">
        <v>124</v>
      </c>
    </row>
    <row r="20" customFormat="false" ht="23.25" hidden="false" customHeight="true" outlineLevel="0" collapsed="false">
      <c r="A20" s="11" t="n">
        <v>16</v>
      </c>
      <c r="B20" s="12" t="s">
        <v>125</v>
      </c>
      <c r="C20" s="13" t="s">
        <v>126</v>
      </c>
      <c r="D20" s="12" t="s">
        <v>127</v>
      </c>
      <c r="E20" s="11" t="n">
        <f aca="false">COUNTIF(Colunas!$A$2:$A$213,C20)</f>
        <v>10</v>
      </c>
      <c r="F20" s="11" t="n">
        <f aca="false">COUNTIFS(Colunas!$A$2:$A$213,C20,Colunas!$F$2:$F$213,"X")</f>
        <v>4</v>
      </c>
      <c r="G20" s="11" t="n">
        <f aca="false">COUNTIFS(Colunas!$A$2:$A$213,C20,Colunas!$I$2:$I$213,"X")</f>
        <v>3</v>
      </c>
      <c r="H20" s="12" t="s">
        <v>105</v>
      </c>
      <c r="I20" s="12" t="s">
        <v>128</v>
      </c>
      <c r="J20" s="12" t="s">
        <v>129</v>
      </c>
      <c r="K20" s="12" t="s">
        <v>130</v>
      </c>
    </row>
    <row r="21" customFormat="false" ht="23.25" hidden="false" customHeight="true" outlineLevel="0" collapsed="false">
      <c r="A21" s="11" t="n">
        <v>17</v>
      </c>
      <c r="B21" s="12" t="s">
        <v>131</v>
      </c>
      <c r="C21" s="13" t="s">
        <v>132</v>
      </c>
      <c r="D21" s="12" t="s">
        <v>133</v>
      </c>
      <c r="E21" s="11" t="n">
        <f aca="false">COUNTIF(Colunas!$A$2:$A$213,C21)</f>
        <v>7</v>
      </c>
      <c r="F21" s="11" t="n">
        <f aca="false">COUNTIFS(Colunas!$A$2:$A$213,C21,Colunas!$F$2:$F$213,"X")</f>
        <v>0</v>
      </c>
      <c r="G21" s="11" t="n">
        <f aca="false">COUNTIFS(Colunas!$A$2:$A$213,C21,Colunas!$I$2:$I$213,"X")</f>
        <v>0</v>
      </c>
      <c r="H21" s="12" t="s">
        <v>105</v>
      </c>
      <c r="I21" s="12" t="s">
        <v>61</v>
      </c>
      <c r="J21" s="12" t="s">
        <v>105</v>
      </c>
      <c r="K21" s="12" t="s">
        <v>134</v>
      </c>
    </row>
    <row r="22" customFormat="false" ht="34.5" hidden="false" customHeight="true" outlineLevel="0" collapsed="false">
      <c r="A22" s="11" t="n">
        <v>18</v>
      </c>
      <c r="B22" s="12" t="s">
        <v>135</v>
      </c>
      <c r="C22" s="13" t="s">
        <v>136</v>
      </c>
      <c r="D22" s="12" t="s">
        <v>137</v>
      </c>
      <c r="E22" s="11" t="n">
        <f aca="false">COUNTIF(Colunas!$A$2:$A$213,C22)</f>
        <v>16</v>
      </c>
      <c r="F22" s="11" t="n">
        <f aca="false">COUNTIFS(Colunas!$A$2:$A$213,C22,Colunas!$F$2:$F$213,"X")</f>
        <v>4</v>
      </c>
      <c r="G22" s="11" t="n">
        <f aca="false">COUNTIFS(Colunas!$A$2:$A$213,C22,Colunas!$I$2:$I$213,"X")</f>
        <v>5</v>
      </c>
      <c r="H22" s="12" t="s">
        <v>138</v>
      </c>
      <c r="I22" s="12" t="s">
        <v>139</v>
      </c>
      <c r="J22" s="12" t="s">
        <v>105</v>
      </c>
      <c r="K22" s="12" t="s">
        <v>140</v>
      </c>
    </row>
    <row r="23" customFormat="false" ht="23.25" hidden="false" customHeight="true" outlineLevel="0" collapsed="false">
      <c r="A23" s="11" t="n">
        <v>19</v>
      </c>
      <c r="B23" s="12" t="s">
        <v>141</v>
      </c>
      <c r="C23" s="13" t="s">
        <v>142</v>
      </c>
      <c r="D23" s="12" t="s">
        <v>143</v>
      </c>
      <c r="E23" s="11" t="n">
        <f aca="false">COUNTIF(Colunas!$A$2:$A$213,C23)</f>
        <v>6</v>
      </c>
      <c r="F23" s="11" t="n">
        <f aca="false">COUNTIFS(Colunas!$A$2:$A$213,C23,Colunas!$F$2:$F$213,"X")</f>
        <v>3</v>
      </c>
      <c r="G23" s="11" t="n">
        <f aca="false">COUNTIFS(Colunas!$A$2:$A$213,C23,Colunas!$I$2:$I$213,"X")</f>
        <v>3</v>
      </c>
      <c r="H23" s="12" t="s">
        <v>138</v>
      </c>
      <c r="I23" s="12" t="s">
        <v>139</v>
      </c>
      <c r="J23" s="12" t="s">
        <v>105</v>
      </c>
      <c r="K23" s="12" t="s">
        <v>144</v>
      </c>
    </row>
    <row r="24" customFormat="false" ht="45.75" hidden="false" customHeight="true" outlineLevel="0" collapsed="false">
      <c r="A24" s="11" t="n">
        <v>20</v>
      </c>
      <c r="B24" s="12" t="s">
        <v>145</v>
      </c>
      <c r="C24" s="13" t="s">
        <v>146</v>
      </c>
      <c r="D24" s="12" t="s">
        <v>147</v>
      </c>
      <c r="E24" s="11" t="n">
        <f aca="false">COUNTIF(Colunas!$A$2:$A$213,C24)</f>
        <v>16</v>
      </c>
      <c r="F24" s="11" t="n">
        <f aca="false">COUNTIFS(Colunas!$A$2:$A$213,C24,Colunas!$F$2:$F$213,"X")</f>
        <v>3</v>
      </c>
      <c r="G24" s="11" t="n">
        <f aca="false">COUNTIFS(Colunas!$A$2:$A$213,C24,Colunas!$I$2:$I$213,"X")</f>
        <v>8</v>
      </c>
      <c r="H24" s="12" t="s">
        <v>148</v>
      </c>
      <c r="I24" s="12" t="s">
        <v>149</v>
      </c>
      <c r="J24" s="12" t="s">
        <v>91</v>
      </c>
      <c r="K24" s="12" t="s">
        <v>150</v>
      </c>
    </row>
    <row r="25" customFormat="false" ht="23.25" hidden="false" customHeight="true" outlineLevel="0" collapsed="false">
      <c r="A25" s="11" t="n">
        <v>21</v>
      </c>
      <c r="B25" s="12" t="s">
        <v>151</v>
      </c>
      <c r="C25" s="13" t="s">
        <v>152</v>
      </c>
      <c r="D25" s="12" t="s">
        <v>153</v>
      </c>
      <c r="E25" s="11" t="n">
        <f aca="false">COUNTIF(Colunas!$A$2:$A$213,C25)</f>
        <v>9</v>
      </c>
      <c r="F25" s="11" t="n">
        <f aca="false">COUNTIFS(Colunas!$A$2:$A$213,C25,Colunas!$F$2:$F$213,"X")</f>
        <v>3</v>
      </c>
      <c r="G25" s="11" t="n">
        <f aca="false">COUNTIFS(Colunas!$A$2:$A$213,C25,Colunas!$I$2:$I$213,"X")</f>
        <v>5</v>
      </c>
      <c r="H25" s="12" t="s">
        <v>148</v>
      </c>
      <c r="I25" s="12" t="s">
        <v>149</v>
      </c>
      <c r="J25" s="12" t="s">
        <v>91</v>
      </c>
      <c r="K25" s="12" t="s">
        <v>153</v>
      </c>
    </row>
    <row r="26" customFormat="false" ht="23.25" hidden="false" customHeight="true" outlineLevel="0" collapsed="false">
      <c r="A26" s="11" t="n">
        <v>22</v>
      </c>
      <c r="B26" s="12" t="s">
        <v>154</v>
      </c>
      <c r="C26" s="13" t="s">
        <v>155</v>
      </c>
      <c r="D26" s="12" t="s">
        <v>156</v>
      </c>
      <c r="E26" s="11" t="n">
        <f aca="false">COUNTIF(Colunas!$A$2:$A$213,C26)</f>
        <v>9</v>
      </c>
      <c r="F26" s="11" t="n">
        <f aca="false">COUNTIFS(Colunas!$A$2:$A$213,C26,Colunas!$F$2:$F$213,"X")</f>
        <v>4</v>
      </c>
      <c r="G26" s="11" t="n">
        <f aca="false">COUNTIFS(Colunas!$A$2:$A$213,C26,Colunas!$I$2:$I$213,"X")</f>
        <v>3</v>
      </c>
      <c r="H26" s="12" t="s">
        <v>105</v>
      </c>
      <c r="I26" s="12" t="s">
        <v>157</v>
      </c>
      <c r="J26" s="12" t="s">
        <v>129</v>
      </c>
      <c r="K26" s="12" t="s">
        <v>158</v>
      </c>
    </row>
    <row r="27" customFormat="false" ht="15" hidden="false" customHeight="true" outlineLevel="0" collapsed="false">
      <c r="D27" s="14" t="s">
        <v>159</v>
      </c>
      <c r="E27" s="15" t="n">
        <f aca="false">SUM(E5:E26)</f>
        <v>212</v>
      </c>
      <c r="F27" s="15" t="n">
        <f aca="false">SUM(F5:F26)</f>
        <v>45</v>
      </c>
      <c r="G27" s="15" t="n">
        <f aca="false">SUM(G5:G26)</f>
        <v>74</v>
      </c>
    </row>
  </sheetData>
  <autoFilter ref="A4:K2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9" min="5" style="1" width="6"/>
    <col collapsed="false" customWidth="true" hidden="false" outlineLevel="0" max="10" min="10" style="1" width="12"/>
    <col collapsed="false" customWidth="true" hidden="false" outlineLevel="0" max="11" min="11" style="1" width="34"/>
    <col collapsed="false" customWidth="true" hidden="false" outlineLevel="0" max="12" min="12" style="1" width="70"/>
  </cols>
  <sheetData>
    <row r="1" customFormat="false" ht="21.75" hidden="false" customHeight="true" outlineLevel="0" collapsed="false">
      <c r="A1" s="10" t="s">
        <v>42</v>
      </c>
      <c r="B1" s="10" t="s">
        <v>40</v>
      </c>
      <c r="C1" s="10" t="s">
        <v>160</v>
      </c>
      <c r="D1" s="10" t="s">
        <v>161</v>
      </c>
      <c r="E1" s="10" t="s">
        <v>15</v>
      </c>
      <c r="F1" s="10" t="s">
        <v>17</v>
      </c>
      <c r="G1" s="10" t="s">
        <v>19</v>
      </c>
      <c r="H1" s="10" t="s">
        <v>21</v>
      </c>
      <c r="I1" s="10" t="s">
        <v>23</v>
      </c>
      <c r="J1" s="10" t="s">
        <v>162</v>
      </c>
      <c r="K1" s="10" t="s">
        <v>163</v>
      </c>
      <c r="L1" s="10" t="s">
        <v>43</v>
      </c>
    </row>
    <row r="2" customFormat="false" ht="15" hidden="false" customHeight="true" outlineLevel="0" collapsed="false">
      <c r="A2" s="13" t="s">
        <v>52</v>
      </c>
      <c r="B2" s="11" t="n">
        <v>1</v>
      </c>
      <c r="C2" s="13" t="s">
        <v>164</v>
      </c>
      <c r="D2" s="12" t="s">
        <v>165</v>
      </c>
      <c r="E2" s="11" t="s">
        <v>166</v>
      </c>
      <c r="F2" s="11"/>
      <c r="G2" s="11"/>
      <c r="H2" s="11"/>
      <c r="I2" s="11"/>
      <c r="J2" s="11" t="str">
        <f aca="false">IF(OR(E2="X",H2="X"),"Não","Sim")</f>
        <v>Não</v>
      </c>
      <c r="K2" s="12"/>
      <c r="L2" s="12" t="s">
        <v>167</v>
      </c>
    </row>
    <row r="3" customFormat="false" ht="15" hidden="false" customHeight="true" outlineLevel="0" collapsed="false">
      <c r="A3" s="13" t="s">
        <v>52</v>
      </c>
      <c r="B3" s="11" t="n">
        <v>2</v>
      </c>
      <c r="C3" s="13" t="s">
        <v>168</v>
      </c>
      <c r="D3" s="12" t="s">
        <v>169</v>
      </c>
      <c r="E3" s="11"/>
      <c r="F3" s="11"/>
      <c r="G3" s="11" t="s">
        <v>166</v>
      </c>
      <c r="H3" s="11" t="s">
        <v>166</v>
      </c>
      <c r="I3" s="11"/>
      <c r="J3" s="11" t="str">
        <f aca="false">IF(OR(E3="X",H3="X"),"Não","Sim")</f>
        <v>Não</v>
      </c>
      <c r="K3" s="12"/>
      <c r="L3" s="12" t="s">
        <v>170</v>
      </c>
    </row>
    <row r="4" customFormat="false" ht="15" hidden="false" customHeight="true" outlineLevel="0" collapsed="false">
      <c r="A4" s="13" t="s">
        <v>52</v>
      </c>
      <c r="B4" s="11" t="n">
        <v>3</v>
      </c>
      <c r="C4" s="13" t="s">
        <v>171</v>
      </c>
      <c r="D4" s="12" t="s">
        <v>172</v>
      </c>
      <c r="E4" s="11"/>
      <c r="F4" s="11"/>
      <c r="G4" s="11" t="s">
        <v>166</v>
      </c>
      <c r="H4" s="11" t="s">
        <v>166</v>
      </c>
      <c r="I4" s="11"/>
      <c r="J4" s="11" t="str">
        <f aca="false">IF(OR(E4="X",H4="X"),"Não","Sim")</f>
        <v>Não</v>
      </c>
      <c r="K4" s="12"/>
      <c r="L4" s="12" t="s">
        <v>173</v>
      </c>
    </row>
    <row r="5" customFormat="false" ht="15" hidden="false" customHeight="true" outlineLevel="0" collapsed="false">
      <c r="A5" s="13" t="s">
        <v>52</v>
      </c>
      <c r="B5" s="11" t="n">
        <v>4</v>
      </c>
      <c r="C5" s="13" t="s">
        <v>174</v>
      </c>
      <c r="D5" s="12" t="s">
        <v>175</v>
      </c>
      <c r="E5" s="11"/>
      <c r="F5" s="11"/>
      <c r="G5" s="11"/>
      <c r="H5" s="11" t="s">
        <v>166</v>
      </c>
      <c r="I5" s="11"/>
      <c r="J5" s="11" t="str">
        <f aca="false">IF(OR(E5="X",H5="X"),"Não","Sim")</f>
        <v>Não</v>
      </c>
      <c r="K5" s="12"/>
      <c r="L5" s="12" t="s">
        <v>176</v>
      </c>
    </row>
    <row r="6" customFormat="false" ht="23.25" hidden="false" customHeight="true" outlineLevel="0" collapsed="false">
      <c r="A6" s="13" t="s">
        <v>52</v>
      </c>
      <c r="B6" s="11" t="n">
        <v>5</v>
      </c>
      <c r="C6" s="13" t="s">
        <v>177</v>
      </c>
      <c r="D6" s="12" t="s">
        <v>178</v>
      </c>
      <c r="E6" s="11"/>
      <c r="F6" s="11"/>
      <c r="G6" s="11"/>
      <c r="H6" s="11" t="s">
        <v>166</v>
      </c>
      <c r="I6" s="11" t="s">
        <v>166</v>
      </c>
      <c r="J6" s="11" t="str">
        <f aca="false">IF(OR(E6="X",H6="X"),"Não","Sim")</f>
        <v>Não</v>
      </c>
      <c r="K6" s="12"/>
      <c r="L6" s="12" t="s">
        <v>179</v>
      </c>
    </row>
    <row r="7" customFormat="false" ht="15" hidden="false" customHeight="true" outlineLevel="0" collapsed="false">
      <c r="A7" s="13" t="s">
        <v>52</v>
      </c>
      <c r="B7" s="11" t="n">
        <v>6</v>
      </c>
      <c r="C7" s="13" t="s">
        <v>180</v>
      </c>
      <c r="D7" s="12" t="s">
        <v>181</v>
      </c>
      <c r="E7" s="11"/>
      <c r="F7" s="11"/>
      <c r="G7" s="11"/>
      <c r="H7" s="11" t="s">
        <v>166</v>
      </c>
      <c r="I7" s="11" t="s">
        <v>166</v>
      </c>
      <c r="J7" s="11" t="str">
        <f aca="false">IF(OR(E7="X",H7="X"),"Não","Sim")</f>
        <v>Não</v>
      </c>
      <c r="K7" s="12"/>
      <c r="L7" s="12" t="s">
        <v>182</v>
      </c>
    </row>
    <row r="8" customFormat="false" ht="15" hidden="false" customHeight="true" outlineLevel="0" collapsed="false">
      <c r="A8" s="13" t="s">
        <v>52</v>
      </c>
      <c r="B8" s="11" t="n">
        <v>7</v>
      </c>
      <c r="C8" s="13" t="s">
        <v>183</v>
      </c>
      <c r="D8" s="12" t="s">
        <v>184</v>
      </c>
      <c r="E8" s="11"/>
      <c r="F8" s="11"/>
      <c r="G8" s="11"/>
      <c r="H8" s="11" t="s">
        <v>166</v>
      </c>
      <c r="I8" s="11" t="s">
        <v>166</v>
      </c>
      <c r="J8" s="11" t="str">
        <f aca="false">IF(OR(E8="X",H8="X"),"Não","Sim")</f>
        <v>Não</v>
      </c>
      <c r="K8" s="12"/>
      <c r="L8" s="12" t="s">
        <v>185</v>
      </c>
    </row>
    <row r="9" customFormat="false" ht="15" hidden="false" customHeight="true" outlineLevel="0" collapsed="false">
      <c r="A9" s="13" t="s">
        <v>52</v>
      </c>
      <c r="B9" s="11" t="n">
        <v>8</v>
      </c>
      <c r="C9" s="13" t="s">
        <v>186</v>
      </c>
      <c r="D9" s="12" t="s">
        <v>187</v>
      </c>
      <c r="E9" s="11"/>
      <c r="F9" s="11"/>
      <c r="G9" s="11"/>
      <c r="H9" s="11"/>
      <c r="I9" s="11"/>
      <c r="J9" s="11" t="str">
        <f aca="false">IF(OR(E9="X",H9="X"),"Não","Sim")</f>
        <v>Sim</v>
      </c>
      <c r="K9" s="12"/>
      <c r="L9" s="12" t="s">
        <v>188</v>
      </c>
    </row>
    <row r="10" customFormat="false" ht="15" hidden="false" customHeight="true" outlineLevel="0" collapsed="false">
      <c r="A10" s="13" t="s">
        <v>52</v>
      </c>
      <c r="B10" s="11" t="n">
        <v>9</v>
      </c>
      <c r="C10" s="13" t="s">
        <v>189</v>
      </c>
      <c r="D10" s="12" t="s">
        <v>175</v>
      </c>
      <c r="E10" s="11"/>
      <c r="F10" s="11"/>
      <c r="G10" s="11" t="s">
        <v>166</v>
      </c>
      <c r="H10" s="11"/>
      <c r="I10" s="11"/>
      <c r="J10" s="11" t="str">
        <f aca="false">IF(OR(E10="X",H10="X"),"Não","Sim")</f>
        <v>Sim</v>
      </c>
      <c r="K10" s="12"/>
      <c r="L10" s="12" t="s">
        <v>190</v>
      </c>
    </row>
    <row r="11" customFormat="false" ht="15" hidden="false" customHeight="true" outlineLevel="0" collapsed="false">
      <c r="A11" s="13" t="s">
        <v>52</v>
      </c>
      <c r="B11" s="11" t="n">
        <v>10</v>
      </c>
      <c r="C11" s="13" t="s">
        <v>191</v>
      </c>
      <c r="D11" s="12" t="s">
        <v>187</v>
      </c>
      <c r="E11" s="11"/>
      <c r="F11" s="11"/>
      <c r="G11" s="11"/>
      <c r="H11" s="11"/>
      <c r="I11" s="11"/>
      <c r="J11" s="11" t="str">
        <f aca="false">IF(OR(E11="X",H11="X"),"Não","Sim")</f>
        <v>Sim</v>
      </c>
      <c r="K11" s="12"/>
      <c r="L11" s="12" t="s">
        <v>192</v>
      </c>
    </row>
    <row r="12" customFormat="false" ht="15" hidden="false" customHeight="true" outlineLevel="0" collapsed="false">
      <c r="A12" s="13" t="s">
        <v>52</v>
      </c>
      <c r="B12" s="11" t="n">
        <v>11</v>
      </c>
      <c r="C12" s="13" t="s">
        <v>193</v>
      </c>
      <c r="D12" s="12" t="s">
        <v>187</v>
      </c>
      <c r="E12" s="11"/>
      <c r="F12" s="11"/>
      <c r="G12" s="11"/>
      <c r="H12" s="11" t="s">
        <v>166</v>
      </c>
      <c r="I12" s="11"/>
      <c r="J12" s="11" t="str">
        <f aca="false">IF(OR(E12="X",H12="X"),"Não","Sim")</f>
        <v>Não</v>
      </c>
      <c r="K12" s="12"/>
      <c r="L12" s="12" t="s">
        <v>194</v>
      </c>
    </row>
    <row r="13" customFormat="false" ht="15" hidden="false" customHeight="true" outlineLevel="0" collapsed="false">
      <c r="A13" s="13" t="s">
        <v>58</v>
      </c>
      <c r="B13" s="11" t="n">
        <v>1</v>
      </c>
      <c r="C13" s="13" t="s">
        <v>195</v>
      </c>
      <c r="D13" s="12" t="s">
        <v>165</v>
      </c>
      <c r="E13" s="11" t="s">
        <v>166</v>
      </c>
      <c r="F13" s="11"/>
      <c r="G13" s="11"/>
      <c r="H13" s="11"/>
      <c r="I13" s="11"/>
      <c r="J13" s="11" t="str">
        <f aca="false">IF(OR(E13="X",H13="X"),"Não","Sim")</f>
        <v>Não</v>
      </c>
      <c r="K13" s="12"/>
      <c r="L13" s="12" t="s">
        <v>196</v>
      </c>
    </row>
    <row r="14" customFormat="false" ht="15" hidden="false" customHeight="true" outlineLevel="0" collapsed="false">
      <c r="A14" s="13" t="s">
        <v>58</v>
      </c>
      <c r="B14" s="11" t="n">
        <v>2</v>
      </c>
      <c r="C14" s="13" t="s">
        <v>197</v>
      </c>
      <c r="D14" s="12" t="s">
        <v>198</v>
      </c>
      <c r="E14" s="11"/>
      <c r="F14" s="11"/>
      <c r="G14" s="11" t="s">
        <v>166</v>
      </c>
      <c r="H14" s="11" t="s">
        <v>166</v>
      </c>
      <c r="I14" s="11"/>
      <c r="J14" s="11" t="str">
        <f aca="false">IF(OR(E14="X",H14="X"),"Não","Sim")</f>
        <v>Não</v>
      </c>
      <c r="K14" s="12"/>
      <c r="L14" s="12" t="s">
        <v>199</v>
      </c>
    </row>
    <row r="15" customFormat="false" ht="15" hidden="false" customHeight="true" outlineLevel="0" collapsed="false">
      <c r="A15" s="13" t="s">
        <v>58</v>
      </c>
      <c r="B15" s="11" t="n">
        <v>3</v>
      </c>
      <c r="C15" s="13" t="s">
        <v>200</v>
      </c>
      <c r="D15" s="12" t="s">
        <v>201</v>
      </c>
      <c r="E15" s="11"/>
      <c r="F15" s="11"/>
      <c r="G15" s="11"/>
      <c r="H15" s="11" t="s">
        <v>166</v>
      </c>
      <c r="I15" s="11"/>
      <c r="J15" s="11" t="str">
        <f aca="false">IF(OR(E15="X",H15="X"),"Não","Sim")</f>
        <v>Não</v>
      </c>
      <c r="K15" s="12"/>
      <c r="L15" s="12" t="s">
        <v>202</v>
      </c>
    </row>
    <row r="16" customFormat="false" ht="15" hidden="false" customHeight="true" outlineLevel="0" collapsed="false">
      <c r="A16" s="13" t="s">
        <v>58</v>
      </c>
      <c r="B16" s="11" t="n">
        <v>4</v>
      </c>
      <c r="C16" s="13" t="s">
        <v>203</v>
      </c>
      <c r="D16" s="12" t="s">
        <v>201</v>
      </c>
      <c r="E16" s="11"/>
      <c r="F16" s="11"/>
      <c r="G16" s="11"/>
      <c r="H16" s="11"/>
      <c r="I16" s="11"/>
      <c r="J16" s="11" t="str">
        <f aca="false">IF(OR(E16="X",H16="X"),"Não","Sim")</f>
        <v>Sim</v>
      </c>
      <c r="K16" s="12"/>
      <c r="L16" s="12" t="s">
        <v>204</v>
      </c>
    </row>
    <row r="17" customFormat="false" ht="15" hidden="false" customHeight="true" outlineLevel="0" collapsed="false">
      <c r="A17" s="13" t="s">
        <v>58</v>
      </c>
      <c r="B17" s="11" t="n">
        <v>5</v>
      </c>
      <c r="C17" s="13" t="s">
        <v>205</v>
      </c>
      <c r="D17" s="12" t="s">
        <v>206</v>
      </c>
      <c r="E17" s="11"/>
      <c r="F17" s="11"/>
      <c r="G17" s="11"/>
      <c r="H17" s="11" t="s">
        <v>166</v>
      </c>
      <c r="I17" s="11"/>
      <c r="J17" s="11" t="str">
        <f aca="false">IF(OR(E17="X",H17="X"),"Não","Sim")</f>
        <v>Não</v>
      </c>
      <c r="K17" s="12"/>
      <c r="L17" s="12" t="s">
        <v>207</v>
      </c>
    </row>
    <row r="18" customFormat="false" ht="15" hidden="false" customHeight="true" outlineLevel="0" collapsed="false">
      <c r="A18" s="13" t="s">
        <v>58</v>
      </c>
      <c r="B18" s="11" t="n">
        <v>6</v>
      </c>
      <c r="C18" s="13" t="s">
        <v>208</v>
      </c>
      <c r="D18" s="12" t="s">
        <v>178</v>
      </c>
      <c r="E18" s="11"/>
      <c r="F18" s="11"/>
      <c r="G18" s="11"/>
      <c r="H18" s="11"/>
      <c r="I18" s="11"/>
      <c r="J18" s="11" t="str">
        <f aca="false">IF(OR(E18="X",H18="X"),"Não","Sim")</f>
        <v>Sim</v>
      </c>
      <c r="K18" s="12"/>
      <c r="L18" s="12" t="s">
        <v>209</v>
      </c>
    </row>
    <row r="19" customFormat="false" ht="15" hidden="false" customHeight="true" outlineLevel="0" collapsed="false">
      <c r="A19" s="13" t="s">
        <v>58</v>
      </c>
      <c r="B19" s="11" t="n">
        <v>7</v>
      </c>
      <c r="C19" s="13" t="s">
        <v>210</v>
      </c>
      <c r="D19" s="12" t="s">
        <v>172</v>
      </c>
      <c r="E19" s="11"/>
      <c r="F19" s="11"/>
      <c r="G19" s="11"/>
      <c r="H19" s="11"/>
      <c r="I19" s="11"/>
      <c r="J19" s="11" t="str">
        <f aca="false">IF(OR(E19="X",H19="X"),"Não","Sim")</f>
        <v>Sim</v>
      </c>
      <c r="K19" s="12"/>
      <c r="L19" s="12" t="s">
        <v>211</v>
      </c>
    </row>
    <row r="20" customFormat="false" ht="15" hidden="false" customHeight="true" outlineLevel="0" collapsed="false">
      <c r="A20" s="13" t="s">
        <v>58</v>
      </c>
      <c r="B20" s="11" t="n">
        <v>8</v>
      </c>
      <c r="C20" s="13" t="s">
        <v>212</v>
      </c>
      <c r="D20" s="12" t="s">
        <v>213</v>
      </c>
      <c r="E20" s="11"/>
      <c r="F20" s="11"/>
      <c r="G20" s="11"/>
      <c r="H20" s="11" t="s">
        <v>166</v>
      </c>
      <c r="I20" s="11" t="s">
        <v>166</v>
      </c>
      <c r="J20" s="11" t="str">
        <f aca="false">IF(OR(E20="X",H20="X"),"Não","Sim")</f>
        <v>Não</v>
      </c>
      <c r="K20" s="12"/>
      <c r="L20" s="12" t="s">
        <v>214</v>
      </c>
    </row>
    <row r="21" customFormat="false" ht="15" hidden="false" customHeight="true" outlineLevel="0" collapsed="false">
      <c r="A21" s="13" t="s">
        <v>58</v>
      </c>
      <c r="B21" s="11" t="n">
        <v>9</v>
      </c>
      <c r="C21" s="13" t="s">
        <v>180</v>
      </c>
      <c r="D21" s="12" t="s">
        <v>215</v>
      </c>
      <c r="E21" s="11"/>
      <c r="F21" s="11"/>
      <c r="G21" s="11"/>
      <c r="H21" s="11" t="s">
        <v>166</v>
      </c>
      <c r="I21" s="11" t="s">
        <v>166</v>
      </c>
      <c r="J21" s="11" t="str">
        <f aca="false">IF(OR(E21="X",H21="X"),"Não","Sim")</f>
        <v>Não</v>
      </c>
      <c r="K21" s="12"/>
      <c r="L21" s="12" t="s">
        <v>216</v>
      </c>
    </row>
    <row r="22" customFormat="false" ht="15" hidden="false" customHeight="true" outlineLevel="0" collapsed="false">
      <c r="A22" s="13" t="s">
        <v>58</v>
      </c>
      <c r="B22" s="11" t="n">
        <v>10</v>
      </c>
      <c r="C22" s="13" t="s">
        <v>217</v>
      </c>
      <c r="D22" s="12" t="s">
        <v>165</v>
      </c>
      <c r="E22" s="11"/>
      <c r="F22" s="11" t="s">
        <v>166</v>
      </c>
      <c r="G22" s="11"/>
      <c r="H22" s="11" t="s">
        <v>166</v>
      </c>
      <c r="I22" s="11"/>
      <c r="J22" s="11" t="str">
        <f aca="false">IF(OR(E22="X",H22="X"),"Não","Sim")</f>
        <v>Não</v>
      </c>
      <c r="K22" s="12" t="s">
        <v>218</v>
      </c>
      <c r="L22" s="12" t="s">
        <v>219</v>
      </c>
    </row>
    <row r="23" customFormat="false" ht="15" hidden="false" customHeight="true" outlineLevel="0" collapsed="false">
      <c r="A23" s="13" t="s">
        <v>58</v>
      </c>
      <c r="B23" s="11" t="n">
        <v>11</v>
      </c>
      <c r="C23" s="13" t="s">
        <v>220</v>
      </c>
      <c r="D23" s="12" t="s">
        <v>221</v>
      </c>
      <c r="E23" s="11"/>
      <c r="F23" s="11"/>
      <c r="G23" s="11"/>
      <c r="H23" s="11" t="s">
        <v>166</v>
      </c>
      <c r="I23" s="11" t="s">
        <v>166</v>
      </c>
      <c r="J23" s="11" t="str">
        <f aca="false">IF(OR(E23="X",H23="X"),"Não","Sim")</f>
        <v>Não</v>
      </c>
      <c r="K23" s="12"/>
      <c r="L23" s="12" t="s">
        <v>222</v>
      </c>
    </row>
    <row r="24" customFormat="false" ht="15" hidden="false" customHeight="true" outlineLevel="0" collapsed="false">
      <c r="A24" s="13" t="s">
        <v>58</v>
      </c>
      <c r="B24" s="11" t="n">
        <v>12</v>
      </c>
      <c r="C24" s="13" t="s">
        <v>223</v>
      </c>
      <c r="D24" s="12" t="s">
        <v>187</v>
      </c>
      <c r="E24" s="11"/>
      <c r="F24" s="11"/>
      <c r="G24" s="11"/>
      <c r="H24" s="11" t="s">
        <v>166</v>
      </c>
      <c r="I24" s="11"/>
      <c r="J24" s="11" t="str">
        <f aca="false">IF(OR(E24="X",H24="X"),"Não","Sim")</f>
        <v>Não</v>
      </c>
      <c r="K24" s="12"/>
      <c r="L24" s="12" t="s">
        <v>224</v>
      </c>
    </row>
    <row r="25" customFormat="false" ht="15" hidden="false" customHeight="true" outlineLevel="0" collapsed="false">
      <c r="A25" s="13" t="s">
        <v>58</v>
      </c>
      <c r="B25" s="11" t="n">
        <v>13</v>
      </c>
      <c r="C25" s="13" t="s">
        <v>193</v>
      </c>
      <c r="D25" s="12" t="s">
        <v>187</v>
      </c>
      <c r="E25" s="11"/>
      <c r="F25" s="11"/>
      <c r="G25" s="11"/>
      <c r="H25" s="11" t="s">
        <v>166</v>
      </c>
      <c r="I25" s="11"/>
      <c r="J25" s="11" t="str">
        <f aca="false">IF(OR(E25="X",H25="X"),"Não","Sim")</f>
        <v>Não</v>
      </c>
      <c r="K25" s="12"/>
      <c r="L25" s="12" t="s">
        <v>225</v>
      </c>
    </row>
    <row r="26" customFormat="false" ht="15" hidden="false" customHeight="true" outlineLevel="0" collapsed="false">
      <c r="A26" s="13" t="s">
        <v>65</v>
      </c>
      <c r="B26" s="11" t="n">
        <v>1</v>
      </c>
      <c r="C26" s="13" t="s">
        <v>226</v>
      </c>
      <c r="D26" s="12" t="s">
        <v>165</v>
      </c>
      <c r="E26" s="11" t="s">
        <v>166</v>
      </c>
      <c r="F26" s="11"/>
      <c r="G26" s="11"/>
      <c r="H26" s="11"/>
      <c r="I26" s="11"/>
      <c r="J26" s="11" t="str">
        <f aca="false">IF(OR(E26="X",H26="X"),"Não","Sim")</f>
        <v>Não</v>
      </c>
      <c r="K26" s="12"/>
      <c r="L26" s="12" t="s">
        <v>227</v>
      </c>
    </row>
    <row r="27" customFormat="false" ht="15" hidden="false" customHeight="true" outlineLevel="0" collapsed="false">
      <c r="A27" s="13" t="s">
        <v>65</v>
      </c>
      <c r="B27" s="11" t="n">
        <v>2</v>
      </c>
      <c r="C27" s="13" t="s">
        <v>195</v>
      </c>
      <c r="D27" s="12" t="s">
        <v>165</v>
      </c>
      <c r="E27" s="11"/>
      <c r="F27" s="11" t="s">
        <v>166</v>
      </c>
      <c r="G27" s="11"/>
      <c r="H27" s="11" t="s">
        <v>166</v>
      </c>
      <c r="I27" s="11"/>
      <c r="J27" s="11" t="str">
        <f aca="false">IF(OR(E27="X",H27="X"),"Não","Sim")</f>
        <v>Não</v>
      </c>
      <c r="K27" s="12" t="s">
        <v>228</v>
      </c>
      <c r="L27" s="12" t="s">
        <v>229</v>
      </c>
    </row>
    <row r="28" customFormat="false" ht="15" hidden="false" customHeight="true" outlineLevel="0" collapsed="false">
      <c r="A28" s="13" t="s">
        <v>65</v>
      </c>
      <c r="B28" s="11" t="n">
        <v>3</v>
      </c>
      <c r="C28" s="13" t="s">
        <v>230</v>
      </c>
      <c r="D28" s="12" t="s">
        <v>231</v>
      </c>
      <c r="E28" s="11"/>
      <c r="F28" s="11"/>
      <c r="G28" s="11"/>
      <c r="H28" s="11" t="s">
        <v>166</v>
      </c>
      <c r="I28" s="11" t="s">
        <v>166</v>
      </c>
      <c r="J28" s="11" t="str">
        <f aca="false">IF(OR(E28="X",H28="X"),"Não","Sim")</f>
        <v>Não</v>
      </c>
      <c r="K28" s="12"/>
      <c r="L28" s="12" t="s">
        <v>232</v>
      </c>
    </row>
    <row r="29" customFormat="false" ht="15" hidden="false" customHeight="true" outlineLevel="0" collapsed="false">
      <c r="A29" s="13" t="s">
        <v>65</v>
      </c>
      <c r="B29" s="11" t="n">
        <v>4</v>
      </c>
      <c r="C29" s="13" t="s">
        <v>233</v>
      </c>
      <c r="D29" s="12" t="s">
        <v>201</v>
      </c>
      <c r="E29" s="11"/>
      <c r="F29" s="11"/>
      <c r="G29" s="11"/>
      <c r="H29" s="11" t="s">
        <v>166</v>
      </c>
      <c r="I29" s="11"/>
      <c r="J29" s="11" t="str">
        <f aca="false">IF(OR(E29="X",H29="X"),"Não","Sim")</f>
        <v>Não</v>
      </c>
      <c r="K29" s="12"/>
      <c r="L29" s="12" t="s">
        <v>234</v>
      </c>
    </row>
    <row r="30" customFormat="false" ht="15" hidden="false" customHeight="true" outlineLevel="0" collapsed="false">
      <c r="A30" s="13" t="s">
        <v>65</v>
      </c>
      <c r="B30" s="11" t="n">
        <v>5</v>
      </c>
      <c r="C30" s="13" t="s">
        <v>235</v>
      </c>
      <c r="D30" s="12" t="s">
        <v>231</v>
      </c>
      <c r="E30" s="11"/>
      <c r="F30" s="11"/>
      <c r="G30" s="11"/>
      <c r="H30" s="11" t="s">
        <v>166</v>
      </c>
      <c r="I30" s="11"/>
      <c r="J30" s="11" t="str">
        <f aca="false">IF(OR(E30="X",H30="X"),"Não","Sim")</f>
        <v>Não</v>
      </c>
      <c r="K30" s="12"/>
      <c r="L30" s="12" t="s">
        <v>236</v>
      </c>
    </row>
    <row r="31" customFormat="false" ht="15" hidden="false" customHeight="true" outlineLevel="0" collapsed="false">
      <c r="A31" s="13" t="s">
        <v>65</v>
      </c>
      <c r="B31" s="11" t="n">
        <v>6</v>
      </c>
      <c r="C31" s="13" t="s">
        <v>237</v>
      </c>
      <c r="D31" s="12" t="s">
        <v>238</v>
      </c>
      <c r="E31" s="11"/>
      <c r="F31" s="11"/>
      <c r="G31" s="11"/>
      <c r="H31" s="11"/>
      <c r="I31" s="11"/>
      <c r="J31" s="11" t="str">
        <f aca="false">IF(OR(E31="X",H31="X"),"Não","Sim")</f>
        <v>Sim</v>
      </c>
      <c r="K31" s="12"/>
      <c r="L31" s="12" t="s">
        <v>239</v>
      </c>
    </row>
    <row r="32" customFormat="false" ht="15" hidden="false" customHeight="true" outlineLevel="0" collapsed="false">
      <c r="A32" s="13" t="s">
        <v>65</v>
      </c>
      <c r="B32" s="11" t="n">
        <v>7</v>
      </c>
      <c r="C32" s="13" t="s">
        <v>240</v>
      </c>
      <c r="D32" s="12" t="s">
        <v>241</v>
      </c>
      <c r="E32" s="11"/>
      <c r="F32" s="11"/>
      <c r="G32" s="11"/>
      <c r="H32" s="11" t="s">
        <v>166</v>
      </c>
      <c r="I32" s="11"/>
      <c r="J32" s="11" t="str">
        <f aca="false">IF(OR(E32="X",H32="X"),"Não","Sim")</f>
        <v>Não</v>
      </c>
      <c r="K32" s="12"/>
      <c r="L32" s="12" t="s">
        <v>242</v>
      </c>
    </row>
    <row r="33" customFormat="false" ht="15" hidden="false" customHeight="true" outlineLevel="0" collapsed="false">
      <c r="A33" s="13" t="s">
        <v>65</v>
      </c>
      <c r="B33" s="11" t="n">
        <v>8</v>
      </c>
      <c r="C33" s="13" t="s">
        <v>243</v>
      </c>
      <c r="D33" s="12" t="s">
        <v>241</v>
      </c>
      <c r="E33" s="11"/>
      <c r="F33" s="11"/>
      <c r="G33" s="11"/>
      <c r="H33" s="11" t="s">
        <v>166</v>
      </c>
      <c r="I33" s="11"/>
      <c r="J33" s="11" t="str">
        <f aca="false">IF(OR(E33="X",H33="X"),"Não","Sim")</f>
        <v>Não</v>
      </c>
      <c r="K33" s="12"/>
      <c r="L33" s="12" t="s">
        <v>244</v>
      </c>
    </row>
    <row r="34" customFormat="false" ht="15" hidden="false" customHeight="true" outlineLevel="0" collapsed="false">
      <c r="A34" s="13" t="s">
        <v>65</v>
      </c>
      <c r="B34" s="11" t="n">
        <v>9</v>
      </c>
      <c r="C34" s="13" t="s">
        <v>245</v>
      </c>
      <c r="D34" s="12" t="s">
        <v>246</v>
      </c>
      <c r="E34" s="11"/>
      <c r="F34" s="11"/>
      <c r="G34" s="11"/>
      <c r="H34" s="11" t="s">
        <v>166</v>
      </c>
      <c r="I34" s="11"/>
      <c r="J34" s="11" t="str">
        <f aca="false">IF(OR(E34="X",H34="X"),"Não","Sim")</f>
        <v>Não</v>
      </c>
      <c r="K34" s="12"/>
      <c r="L34" s="12" t="s">
        <v>247</v>
      </c>
    </row>
    <row r="35" customFormat="false" ht="15" hidden="false" customHeight="true" outlineLevel="0" collapsed="false">
      <c r="A35" s="13" t="s">
        <v>65</v>
      </c>
      <c r="B35" s="11" t="n">
        <v>10</v>
      </c>
      <c r="C35" s="13" t="s">
        <v>248</v>
      </c>
      <c r="D35" s="12" t="s">
        <v>249</v>
      </c>
      <c r="E35" s="11"/>
      <c r="F35" s="11"/>
      <c r="G35" s="11"/>
      <c r="H35" s="11" t="s">
        <v>166</v>
      </c>
      <c r="I35" s="11"/>
      <c r="J35" s="11" t="str">
        <f aca="false">IF(OR(E35="X",H35="X"),"Não","Sim")</f>
        <v>Não</v>
      </c>
      <c r="K35" s="12"/>
      <c r="L35" s="12" t="s">
        <v>250</v>
      </c>
    </row>
    <row r="36" customFormat="false" ht="15" hidden="false" customHeight="true" outlineLevel="0" collapsed="false">
      <c r="A36" s="13" t="s">
        <v>69</v>
      </c>
      <c r="B36" s="11" t="n">
        <v>1</v>
      </c>
      <c r="C36" s="13" t="s">
        <v>251</v>
      </c>
      <c r="D36" s="12" t="s">
        <v>165</v>
      </c>
      <c r="E36" s="11" t="s">
        <v>166</v>
      </c>
      <c r="F36" s="11"/>
      <c r="G36" s="11"/>
      <c r="H36" s="11"/>
      <c r="I36" s="11"/>
      <c r="J36" s="11" t="str">
        <f aca="false">IF(OR(E36="X",H36="X"),"Não","Sim")</f>
        <v>Não</v>
      </c>
      <c r="K36" s="12"/>
      <c r="L36" s="12" t="s">
        <v>252</v>
      </c>
    </row>
    <row r="37" customFormat="false" ht="15" hidden="false" customHeight="true" outlineLevel="0" collapsed="false">
      <c r="A37" s="13" t="s">
        <v>69</v>
      </c>
      <c r="B37" s="11" t="n">
        <v>2</v>
      </c>
      <c r="C37" s="13" t="s">
        <v>253</v>
      </c>
      <c r="D37" s="12" t="s">
        <v>254</v>
      </c>
      <c r="E37" s="11"/>
      <c r="F37" s="11"/>
      <c r="G37" s="11" t="s">
        <v>166</v>
      </c>
      <c r="H37" s="11" t="s">
        <v>166</v>
      </c>
      <c r="I37" s="11"/>
      <c r="J37" s="11" t="str">
        <f aca="false">IF(OR(E37="X",H37="X"),"Não","Sim")</f>
        <v>Não</v>
      </c>
      <c r="K37" s="12"/>
      <c r="L37" s="12" t="s">
        <v>255</v>
      </c>
    </row>
    <row r="38" customFormat="false" ht="15" hidden="false" customHeight="true" outlineLevel="0" collapsed="false">
      <c r="A38" s="13" t="s">
        <v>69</v>
      </c>
      <c r="B38" s="11" t="n">
        <v>3</v>
      </c>
      <c r="C38" s="13" t="s">
        <v>256</v>
      </c>
      <c r="D38" s="12" t="s">
        <v>257</v>
      </c>
      <c r="E38" s="11"/>
      <c r="F38" s="11"/>
      <c r="G38" s="11"/>
      <c r="H38" s="11" t="s">
        <v>166</v>
      </c>
      <c r="I38" s="11"/>
      <c r="J38" s="11" t="str">
        <f aca="false">IF(OR(E38="X",H38="X"),"Não","Sim")</f>
        <v>Não</v>
      </c>
      <c r="K38" s="12"/>
      <c r="L38" s="12" t="s">
        <v>258</v>
      </c>
    </row>
    <row r="39" customFormat="false" ht="15" hidden="false" customHeight="true" outlineLevel="0" collapsed="false">
      <c r="A39" s="13" t="s">
        <v>69</v>
      </c>
      <c r="B39" s="11" t="n">
        <v>4</v>
      </c>
      <c r="C39" s="13" t="s">
        <v>259</v>
      </c>
      <c r="D39" s="12" t="s">
        <v>249</v>
      </c>
      <c r="E39" s="11"/>
      <c r="F39" s="11"/>
      <c r="G39" s="11"/>
      <c r="H39" s="11"/>
      <c r="I39" s="11"/>
      <c r="J39" s="11" t="str">
        <f aca="false">IF(OR(E39="X",H39="X"),"Não","Sim")</f>
        <v>Sim</v>
      </c>
      <c r="K39" s="12"/>
      <c r="L39" s="12" t="s">
        <v>260</v>
      </c>
    </row>
    <row r="40" customFormat="false" ht="15" hidden="false" customHeight="true" outlineLevel="0" collapsed="false">
      <c r="A40" s="13" t="s">
        <v>69</v>
      </c>
      <c r="B40" s="11" t="n">
        <v>5</v>
      </c>
      <c r="C40" s="13" t="s">
        <v>261</v>
      </c>
      <c r="D40" s="12" t="s">
        <v>262</v>
      </c>
      <c r="E40" s="11"/>
      <c r="F40" s="11"/>
      <c r="G40" s="11" t="s">
        <v>166</v>
      </c>
      <c r="H40" s="11"/>
      <c r="I40" s="11"/>
      <c r="J40" s="11" t="str">
        <f aca="false">IF(OR(E40="X",H40="X"),"Não","Sim")</f>
        <v>Sim</v>
      </c>
      <c r="K40" s="12"/>
      <c r="L40" s="12" t="s">
        <v>263</v>
      </c>
    </row>
    <row r="41" customFormat="false" ht="15" hidden="false" customHeight="true" outlineLevel="0" collapsed="false">
      <c r="A41" s="13" t="s">
        <v>69</v>
      </c>
      <c r="B41" s="11" t="n">
        <v>6</v>
      </c>
      <c r="C41" s="13" t="s">
        <v>264</v>
      </c>
      <c r="D41" s="12" t="s">
        <v>238</v>
      </c>
      <c r="E41" s="11"/>
      <c r="F41" s="11"/>
      <c r="G41" s="11"/>
      <c r="H41" s="11"/>
      <c r="I41" s="11"/>
      <c r="J41" s="11" t="str">
        <f aca="false">IF(OR(E41="X",H41="X"),"Não","Sim")</f>
        <v>Sim</v>
      </c>
      <c r="K41" s="12"/>
      <c r="L41" s="12" t="s">
        <v>265</v>
      </c>
    </row>
    <row r="42" customFormat="false" ht="15" hidden="false" customHeight="true" outlineLevel="0" collapsed="false">
      <c r="A42" s="13" t="s">
        <v>69</v>
      </c>
      <c r="B42" s="11" t="n">
        <v>7</v>
      </c>
      <c r="C42" s="13" t="s">
        <v>266</v>
      </c>
      <c r="D42" s="12" t="s">
        <v>221</v>
      </c>
      <c r="E42" s="11"/>
      <c r="F42" s="11"/>
      <c r="G42" s="11"/>
      <c r="H42" s="11" t="s">
        <v>166</v>
      </c>
      <c r="I42" s="11"/>
      <c r="J42" s="11" t="str">
        <f aca="false">IF(OR(E42="X",H42="X"),"Não","Sim")</f>
        <v>Não</v>
      </c>
      <c r="K42" s="12"/>
      <c r="L42" s="12" t="s">
        <v>267</v>
      </c>
    </row>
    <row r="43" customFormat="false" ht="15" hidden="false" customHeight="true" outlineLevel="0" collapsed="false">
      <c r="A43" s="13" t="s">
        <v>75</v>
      </c>
      <c r="B43" s="11" t="n">
        <v>1</v>
      </c>
      <c r="C43" s="13" t="s">
        <v>268</v>
      </c>
      <c r="D43" s="12" t="s">
        <v>165</v>
      </c>
      <c r="E43" s="11" t="s">
        <v>166</v>
      </c>
      <c r="F43" s="11"/>
      <c r="G43" s="11"/>
      <c r="H43" s="11"/>
      <c r="I43" s="11"/>
      <c r="J43" s="11" t="str">
        <f aca="false">IF(OR(E43="X",H43="X"),"Não","Sim")</f>
        <v>Não</v>
      </c>
      <c r="K43" s="12"/>
      <c r="L43" s="12" t="s">
        <v>269</v>
      </c>
    </row>
    <row r="44" customFormat="false" ht="15" hidden="false" customHeight="true" outlineLevel="0" collapsed="false">
      <c r="A44" s="13" t="s">
        <v>75</v>
      </c>
      <c r="B44" s="11" t="n">
        <v>2</v>
      </c>
      <c r="C44" s="13" t="s">
        <v>251</v>
      </c>
      <c r="D44" s="12" t="s">
        <v>165</v>
      </c>
      <c r="E44" s="11"/>
      <c r="F44" s="11" t="s">
        <v>166</v>
      </c>
      <c r="G44" s="11"/>
      <c r="H44" s="11" t="s">
        <v>166</v>
      </c>
      <c r="I44" s="11"/>
      <c r="J44" s="11" t="str">
        <f aca="false">IF(OR(E44="X",H44="X"),"Não","Sim")</f>
        <v>Não</v>
      </c>
      <c r="K44" s="12" t="s">
        <v>270</v>
      </c>
      <c r="L44" s="12" t="s">
        <v>271</v>
      </c>
    </row>
    <row r="45" customFormat="false" ht="15" hidden="false" customHeight="true" outlineLevel="0" collapsed="false">
      <c r="A45" s="13" t="s">
        <v>75</v>
      </c>
      <c r="B45" s="11" t="n">
        <v>3</v>
      </c>
      <c r="C45" s="13" t="s">
        <v>272</v>
      </c>
      <c r="D45" s="12" t="s">
        <v>238</v>
      </c>
      <c r="E45" s="11"/>
      <c r="F45" s="11"/>
      <c r="G45" s="11"/>
      <c r="H45" s="11" t="s">
        <v>166</v>
      </c>
      <c r="I45" s="11"/>
      <c r="J45" s="11" t="str">
        <f aca="false">IF(OR(E45="X",H45="X"),"Não","Sim")</f>
        <v>Não</v>
      </c>
      <c r="K45" s="12"/>
      <c r="L45" s="12" t="s">
        <v>273</v>
      </c>
    </row>
    <row r="46" customFormat="false" ht="15" hidden="false" customHeight="true" outlineLevel="0" collapsed="false">
      <c r="A46" s="13" t="s">
        <v>75</v>
      </c>
      <c r="B46" s="11" t="n">
        <v>4</v>
      </c>
      <c r="C46" s="13" t="s">
        <v>274</v>
      </c>
      <c r="D46" s="12" t="s">
        <v>275</v>
      </c>
      <c r="E46" s="11"/>
      <c r="F46" s="11"/>
      <c r="G46" s="11"/>
      <c r="H46" s="11" t="s">
        <v>166</v>
      </c>
      <c r="I46" s="11"/>
      <c r="J46" s="11" t="str">
        <f aca="false">IF(OR(E46="X",H46="X"),"Não","Sim")</f>
        <v>Não</v>
      </c>
      <c r="K46" s="12"/>
      <c r="L46" s="12" t="s">
        <v>276</v>
      </c>
    </row>
    <row r="47" customFormat="false" ht="15" hidden="false" customHeight="true" outlineLevel="0" collapsed="false">
      <c r="A47" s="13" t="s">
        <v>75</v>
      </c>
      <c r="B47" s="11" t="n">
        <v>5</v>
      </c>
      <c r="C47" s="13" t="s">
        <v>277</v>
      </c>
      <c r="D47" s="12" t="s">
        <v>165</v>
      </c>
      <c r="E47" s="11"/>
      <c r="F47" s="11"/>
      <c r="G47" s="11"/>
      <c r="H47" s="11" t="s">
        <v>166</v>
      </c>
      <c r="I47" s="11" t="s">
        <v>166</v>
      </c>
      <c r="J47" s="11" t="str">
        <f aca="false">IF(OR(E47="X",H47="X"),"Não","Sim")</f>
        <v>Não</v>
      </c>
      <c r="K47" s="12"/>
      <c r="L47" s="12" t="s">
        <v>278</v>
      </c>
    </row>
    <row r="48" customFormat="false" ht="15" hidden="false" customHeight="true" outlineLevel="0" collapsed="false">
      <c r="A48" s="13" t="s">
        <v>79</v>
      </c>
      <c r="B48" s="11" t="n">
        <v>1</v>
      </c>
      <c r="C48" s="13" t="s">
        <v>279</v>
      </c>
      <c r="D48" s="12" t="s">
        <v>165</v>
      </c>
      <c r="E48" s="11" t="s">
        <v>166</v>
      </c>
      <c r="F48" s="11"/>
      <c r="G48" s="11"/>
      <c r="H48" s="11"/>
      <c r="I48" s="11"/>
      <c r="J48" s="11" t="str">
        <f aca="false">IF(OR(E48="X",H48="X"),"Não","Sim")</f>
        <v>Não</v>
      </c>
      <c r="K48" s="12"/>
      <c r="L48" s="12" t="s">
        <v>280</v>
      </c>
    </row>
    <row r="49" customFormat="false" ht="15" hidden="false" customHeight="true" outlineLevel="0" collapsed="false">
      <c r="A49" s="13" t="s">
        <v>79</v>
      </c>
      <c r="B49" s="11" t="n">
        <v>2</v>
      </c>
      <c r="C49" s="13" t="s">
        <v>268</v>
      </c>
      <c r="D49" s="12" t="s">
        <v>165</v>
      </c>
      <c r="E49" s="11"/>
      <c r="F49" s="11" t="s">
        <v>166</v>
      </c>
      <c r="G49" s="11"/>
      <c r="H49" s="11" t="s">
        <v>166</v>
      </c>
      <c r="I49" s="11"/>
      <c r="J49" s="11" t="str">
        <f aca="false">IF(OR(E49="X",H49="X"),"Não","Sim")</f>
        <v>Não</v>
      </c>
      <c r="K49" s="12" t="s">
        <v>281</v>
      </c>
      <c r="L49" s="12" t="s">
        <v>282</v>
      </c>
    </row>
    <row r="50" customFormat="false" ht="15" hidden="false" customHeight="true" outlineLevel="0" collapsed="false">
      <c r="A50" s="13" t="s">
        <v>79</v>
      </c>
      <c r="B50" s="11" t="n">
        <v>3</v>
      </c>
      <c r="C50" s="13" t="s">
        <v>283</v>
      </c>
      <c r="D50" s="12" t="s">
        <v>165</v>
      </c>
      <c r="E50" s="11"/>
      <c r="F50" s="11"/>
      <c r="G50" s="11"/>
      <c r="H50" s="11" t="s">
        <v>166</v>
      </c>
      <c r="I50" s="11" t="s">
        <v>166</v>
      </c>
      <c r="J50" s="11" t="str">
        <f aca="false">IF(OR(E50="X",H50="X"),"Não","Sim")</f>
        <v>Não</v>
      </c>
      <c r="K50" s="12"/>
      <c r="L50" s="12" t="s">
        <v>284</v>
      </c>
    </row>
    <row r="51" customFormat="false" ht="15" hidden="false" customHeight="true" outlineLevel="0" collapsed="false">
      <c r="A51" s="13" t="s">
        <v>79</v>
      </c>
      <c r="B51" s="11" t="n">
        <v>4</v>
      </c>
      <c r="C51" s="13" t="s">
        <v>285</v>
      </c>
      <c r="D51" s="12" t="s">
        <v>286</v>
      </c>
      <c r="E51" s="11"/>
      <c r="F51" s="11"/>
      <c r="G51" s="11"/>
      <c r="H51" s="11" t="s">
        <v>166</v>
      </c>
      <c r="I51" s="11" t="s">
        <v>166</v>
      </c>
      <c r="J51" s="11" t="str">
        <f aca="false">IF(OR(E51="X",H51="X"),"Não","Sim")</f>
        <v>Não</v>
      </c>
      <c r="K51" s="12"/>
      <c r="L51" s="12" t="s">
        <v>287</v>
      </c>
    </row>
    <row r="52" customFormat="false" ht="15" hidden="false" customHeight="true" outlineLevel="0" collapsed="false">
      <c r="A52" s="13" t="s">
        <v>83</v>
      </c>
      <c r="B52" s="11" t="n">
        <v>1</v>
      </c>
      <c r="C52" s="13" t="s">
        <v>288</v>
      </c>
      <c r="D52" s="12" t="s">
        <v>165</v>
      </c>
      <c r="E52" s="11" t="s">
        <v>166</v>
      </c>
      <c r="F52" s="11"/>
      <c r="G52" s="11"/>
      <c r="H52" s="11"/>
      <c r="I52" s="11"/>
      <c r="J52" s="11" t="str">
        <f aca="false">IF(OR(E52="X",H52="X"),"Não","Sim")</f>
        <v>Não</v>
      </c>
      <c r="K52" s="12"/>
      <c r="L52" s="12" t="s">
        <v>289</v>
      </c>
    </row>
    <row r="53" customFormat="false" ht="15" hidden="false" customHeight="true" outlineLevel="0" collapsed="false">
      <c r="A53" s="13" t="s">
        <v>83</v>
      </c>
      <c r="B53" s="11" t="n">
        <v>2</v>
      </c>
      <c r="C53" s="13" t="s">
        <v>268</v>
      </c>
      <c r="D53" s="12" t="s">
        <v>165</v>
      </c>
      <c r="E53" s="11"/>
      <c r="F53" s="11" t="s">
        <v>166</v>
      </c>
      <c r="G53" s="11"/>
      <c r="H53" s="11" t="s">
        <v>166</v>
      </c>
      <c r="I53" s="11"/>
      <c r="J53" s="11" t="str">
        <f aca="false">IF(OR(E53="X",H53="X"),"Não","Sim")</f>
        <v>Não</v>
      </c>
      <c r="K53" s="12" t="s">
        <v>281</v>
      </c>
      <c r="L53" s="12" t="s">
        <v>290</v>
      </c>
    </row>
    <row r="54" customFormat="false" ht="15" hidden="false" customHeight="true" outlineLevel="0" collapsed="false">
      <c r="A54" s="13" t="s">
        <v>83</v>
      </c>
      <c r="B54" s="11" t="n">
        <v>3</v>
      </c>
      <c r="C54" s="13" t="s">
        <v>291</v>
      </c>
      <c r="D54" s="12" t="s">
        <v>165</v>
      </c>
      <c r="E54" s="11"/>
      <c r="F54" s="11"/>
      <c r="G54" s="11"/>
      <c r="H54" s="11" t="s">
        <v>166</v>
      </c>
      <c r="I54" s="11" t="s">
        <v>166</v>
      </c>
      <c r="J54" s="11" t="str">
        <f aca="false">IF(OR(E54="X",H54="X"),"Não","Sim")</f>
        <v>Não</v>
      </c>
      <c r="K54" s="12"/>
      <c r="L54" s="12" t="s">
        <v>292</v>
      </c>
    </row>
    <row r="55" customFormat="false" ht="15" hidden="false" customHeight="true" outlineLevel="0" collapsed="false">
      <c r="A55" s="13" t="s">
        <v>83</v>
      </c>
      <c r="B55" s="11" t="n">
        <v>4</v>
      </c>
      <c r="C55" s="13" t="s">
        <v>293</v>
      </c>
      <c r="D55" s="12" t="s">
        <v>286</v>
      </c>
      <c r="E55" s="11"/>
      <c r="F55" s="11"/>
      <c r="G55" s="11"/>
      <c r="H55" s="11" t="s">
        <v>166</v>
      </c>
      <c r="I55" s="11" t="s">
        <v>166</v>
      </c>
      <c r="J55" s="11" t="str">
        <f aca="false">IF(OR(E55="X",H55="X"),"Não","Sim")</f>
        <v>Não</v>
      </c>
      <c r="K55" s="12"/>
      <c r="L55" s="12" t="s">
        <v>294</v>
      </c>
    </row>
    <row r="56" customFormat="false" ht="34.5" hidden="false" customHeight="true" outlineLevel="0" collapsed="false">
      <c r="A56" s="13" t="s">
        <v>87</v>
      </c>
      <c r="B56" s="11" t="n">
        <v>1</v>
      </c>
      <c r="C56" s="13" t="s">
        <v>295</v>
      </c>
      <c r="D56" s="12" t="s">
        <v>165</v>
      </c>
      <c r="E56" s="11" t="s">
        <v>166</v>
      </c>
      <c r="F56" s="11"/>
      <c r="G56" s="11"/>
      <c r="H56" s="11"/>
      <c r="I56" s="11"/>
      <c r="J56" s="11" t="str">
        <f aca="false">IF(OR(E56="X",H56="X"),"Não","Sim")</f>
        <v>Não</v>
      </c>
      <c r="K56" s="12"/>
      <c r="L56" s="12" t="s">
        <v>296</v>
      </c>
    </row>
    <row r="57" customFormat="false" ht="15" hidden="false" customHeight="true" outlineLevel="0" collapsed="false">
      <c r="A57" s="13" t="s">
        <v>87</v>
      </c>
      <c r="B57" s="11" t="n">
        <v>2</v>
      </c>
      <c r="C57" s="13" t="s">
        <v>297</v>
      </c>
      <c r="D57" s="12" t="s">
        <v>298</v>
      </c>
      <c r="E57" s="11"/>
      <c r="F57" s="11"/>
      <c r="G57" s="11" t="s">
        <v>166</v>
      </c>
      <c r="H57" s="11"/>
      <c r="I57" s="11" t="s">
        <v>166</v>
      </c>
      <c r="J57" s="11" t="str">
        <f aca="false">IF(OR(E57="X",H57="X"),"Não","Sim")</f>
        <v>Sim</v>
      </c>
      <c r="K57" s="12"/>
      <c r="L57" s="12" t="s">
        <v>299</v>
      </c>
    </row>
    <row r="58" customFormat="false" ht="15" hidden="false" customHeight="true" outlineLevel="0" collapsed="false">
      <c r="A58" s="13" t="s">
        <v>87</v>
      </c>
      <c r="B58" s="11" t="n">
        <v>3</v>
      </c>
      <c r="C58" s="13" t="s">
        <v>195</v>
      </c>
      <c r="D58" s="12" t="s">
        <v>165</v>
      </c>
      <c r="E58" s="11"/>
      <c r="F58" s="11" t="s">
        <v>166</v>
      </c>
      <c r="G58" s="11"/>
      <c r="H58" s="11" t="s">
        <v>166</v>
      </c>
      <c r="I58" s="11"/>
      <c r="J58" s="11" t="str">
        <f aca="false">IF(OR(E58="X",H58="X"),"Não","Sim")</f>
        <v>Não</v>
      </c>
      <c r="K58" s="12" t="s">
        <v>228</v>
      </c>
      <c r="L58" s="12" t="s">
        <v>300</v>
      </c>
    </row>
    <row r="59" customFormat="false" ht="15" hidden="false" customHeight="true" outlineLevel="0" collapsed="false">
      <c r="A59" s="13" t="s">
        <v>87</v>
      </c>
      <c r="B59" s="11" t="n">
        <v>4</v>
      </c>
      <c r="C59" s="13" t="s">
        <v>164</v>
      </c>
      <c r="D59" s="12" t="s">
        <v>165</v>
      </c>
      <c r="E59" s="11"/>
      <c r="F59" s="11" t="s">
        <v>166</v>
      </c>
      <c r="G59" s="11"/>
      <c r="H59" s="11" t="s">
        <v>166</v>
      </c>
      <c r="I59" s="11"/>
      <c r="J59" s="11" t="str">
        <f aca="false">IF(OR(E59="X",H59="X"),"Não","Sim")</f>
        <v>Não</v>
      </c>
      <c r="K59" s="12" t="s">
        <v>218</v>
      </c>
      <c r="L59" s="12" t="s">
        <v>301</v>
      </c>
    </row>
    <row r="60" customFormat="false" ht="15" hidden="false" customHeight="true" outlineLevel="0" collapsed="false">
      <c r="A60" s="13" t="s">
        <v>87</v>
      </c>
      <c r="B60" s="11" t="n">
        <v>5</v>
      </c>
      <c r="C60" s="13" t="s">
        <v>302</v>
      </c>
      <c r="D60" s="12" t="s">
        <v>165</v>
      </c>
      <c r="E60" s="11"/>
      <c r="F60" s="11" t="s">
        <v>166</v>
      </c>
      <c r="G60" s="11"/>
      <c r="H60" s="11"/>
      <c r="I60" s="11"/>
      <c r="J60" s="11" t="str">
        <f aca="false">IF(OR(E60="X",H60="X"),"Não","Sim")</f>
        <v>Sim</v>
      </c>
      <c r="K60" s="12" t="s">
        <v>303</v>
      </c>
      <c r="L60" s="12" t="s">
        <v>304</v>
      </c>
    </row>
    <row r="61" customFormat="false" ht="23.25" hidden="false" customHeight="true" outlineLevel="0" collapsed="false">
      <c r="A61" s="13" t="s">
        <v>87</v>
      </c>
      <c r="B61" s="11" t="n">
        <v>6</v>
      </c>
      <c r="C61" s="13" t="s">
        <v>305</v>
      </c>
      <c r="D61" s="12" t="s">
        <v>165</v>
      </c>
      <c r="E61" s="11"/>
      <c r="F61" s="11" t="s">
        <v>166</v>
      </c>
      <c r="G61" s="11"/>
      <c r="H61" s="11"/>
      <c r="I61" s="11"/>
      <c r="J61" s="11" t="str">
        <f aca="false">IF(OR(E61="X",H61="X"),"Não","Sim")</f>
        <v>Sim</v>
      </c>
      <c r="K61" s="12" t="s">
        <v>306</v>
      </c>
      <c r="L61" s="12" t="s">
        <v>307</v>
      </c>
    </row>
    <row r="62" customFormat="false" ht="15" hidden="false" customHeight="true" outlineLevel="0" collapsed="false">
      <c r="A62" s="13" t="s">
        <v>87</v>
      </c>
      <c r="B62" s="11" t="n">
        <v>7</v>
      </c>
      <c r="C62" s="13" t="s">
        <v>308</v>
      </c>
      <c r="D62" s="12" t="s">
        <v>165</v>
      </c>
      <c r="E62" s="11"/>
      <c r="F62" s="11" t="s">
        <v>166</v>
      </c>
      <c r="G62" s="11"/>
      <c r="H62" s="11"/>
      <c r="I62" s="11"/>
      <c r="J62" s="11" t="str">
        <f aca="false">IF(OR(E62="X",H62="X"),"Não","Sim")</f>
        <v>Sim</v>
      </c>
      <c r="K62" s="12" t="s">
        <v>309</v>
      </c>
      <c r="L62" s="12" t="s">
        <v>310</v>
      </c>
    </row>
    <row r="63" customFormat="false" ht="23.25" hidden="false" customHeight="true" outlineLevel="0" collapsed="false">
      <c r="A63" s="13" t="s">
        <v>87</v>
      </c>
      <c r="B63" s="11" t="n">
        <v>8</v>
      </c>
      <c r="C63" s="13" t="s">
        <v>311</v>
      </c>
      <c r="D63" s="12" t="s">
        <v>187</v>
      </c>
      <c r="E63" s="11"/>
      <c r="F63" s="11"/>
      <c r="G63" s="11"/>
      <c r="H63" s="11" t="s">
        <v>166</v>
      </c>
      <c r="I63" s="11"/>
      <c r="J63" s="11" t="str">
        <f aca="false">IF(OR(E63="X",H63="X"),"Não","Sim")</f>
        <v>Não</v>
      </c>
      <c r="K63" s="12"/>
      <c r="L63" s="12" t="s">
        <v>312</v>
      </c>
    </row>
    <row r="64" customFormat="false" ht="23.25" hidden="false" customHeight="true" outlineLevel="0" collapsed="false">
      <c r="A64" s="13" t="s">
        <v>87</v>
      </c>
      <c r="B64" s="11" t="n">
        <v>9</v>
      </c>
      <c r="C64" s="13" t="s">
        <v>313</v>
      </c>
      <c r="D64" s="12" t="s">
        <v>187</v>
      </c>
      <c r="E64" s="11"/>
      <c r="F64" s="11"/>
      <c r="G64" s="11"/>
      <c r="H64" s="11" t="s">
        <v>166</v>
      </c>
      <c r="I64" s="11"/>
      <c r="J64" s="11" t="str">
        <f aca="false">IF(OR(E64="X",H64="X"),"Não","Sim")</f>
        <v>Não</v>
      </c>
      <c r="K64" s="12"/>
      <c r="L64" s="12" t="s">
        <v>314</v>
      </c>
    </row>
    <row r="65" customFormat="false" ht="15" hidden="false" customHeight="true" outlineLevel="0" collapsed="false">
      <c r="A65" s="13" t="s">
        <v>87</v>
      </c>
      <c r="B65" s="11" t="n">
        <v>10</v>
      </c>
      <c r="C65" s="13" t="s">
        <v>315</v>
      </c>
      <c r="D65" s="12" t="s">
        <v>187</v>
      </c>
      <c r="E65" s="11"/>
      <c r="F65" s="11"/>
      <c r="G65" s="11"/>
      <c r="H65" s="11"/>
      <c r="I65" s="11"/>
      <c r="J65" s="11" t="str">
        <f aca="false">IF(OR(E65="X",H65="X"),"Não","Sim")</f>
        <v>Sim</v>
      </c>
      <c r="K65" s="12"/>
      <c r="L65" s="12" t="s">
        <v>316</v>
      </c>
    </row>
    <row r="66" customFormat="false" ht="15" hidden="false" customHeight="true" outlineLevel="0" collapsed="false">
      <c r="A66" s="13" t="s">
        <v>87</v>
      </c>
      <c r="B66" s="11" t="n">
        <v>11</v>
      </c>
      <c r="C66" s="13" t="s">
        <v>317</v>
      </c>
      <c r="D66" s="12" t="s">
        <v>318</v>
      </c>
      <c r="E66" s="11"/>
      <c r="F66" s="11"/>
      <c r="G66" s="11"/>
      <c r="H66" s="11"/>
      <c r="I66" s="11" t="s">
        <v>166</v>
      </c>
      <c r="J66" s="11" t="str">
        <f aca="false">IF(OR(E66="X",H66="X"),"Não","Sim")</f>
        <v>Sim</v>
      </c>
      <c r="K66" s="12"/>
      <c r="L66" s="12" t="s">
        <v>319</v>
      </c>
    </row>
    <row r="67" customFormat="false" ht="34.5" hidden="false" customHeight="true" outlineLevel="0" collapsed="false">
      <c r="A67" s="13" t="s">
        <v>87</v>
      </c>
      <c r="B67" s="11" t="n">
        <v>12</v>
      </c>
      <c r="C67" s="13" t="s">
        <v>320</v>
      </c>
      <c r="D67" s="12" t="s">
        <v>318</v>
      </c>
      <c r="E67" s="11"/>
      <c r="F67" s="11"/>
      <c r="G67" s="11"/>
      <c r="H67" s="11"/>
      <c r="I67" s="11" t="s">
        <v>166</v>
      </c>
      <c r="J67" s="11" t="str">
        <f aca="false">IF(OR(E67="X",H67="X"),"Não","Sim")</f>
        <v>Sim</v>
      </c>
      <c r="K67" s="12"/>
      <c r="L67" s="12" t="s">
        <v>321</v>
      </c>
    </row>
    <row r="68" customFormat="false" ht="23.25" hidden="false" customHeight="true" outlineLevel="0" collapsed="false">
      <c r="A68" s="13" t="s">
        <v>87</v>
      </c>
      <c r="B68" s="11" t="n">
        <v>13</v>
      </c>
      <c r="C68" s="13" t="s">
        <v>180</v>
      </c>
      <c r="D68" s="12" t="s">
        <v>178</v>
      </c>
      <c r="E68" s="11"/>
      <c r="F68" s="11"/>
      <c r="G68" s="11"/>
      <c r="H68" s="11" t="s">
        <v>166</v>
      </c>
      <c r="I68" s="11" t="s">
        <v>166</v>
      </c>
      <c r="J68" s="11" t="str">
        <f aca="false">IF(OR(E68="X",H68="X"),"Não","Sim")</f>
        <v>Não</v>
      </c>
      <c r="K68" s="12"/>
      <c r="L68" s="12" t="s">
        <v>322</v>
      </c>
    </row>
    <row r="69" customFormat="false" ht="15" hidden="false" customHeight="true" outlineLevel="0" collapsed="false">
      <c r="A69" s="13" t="s">
        <v>87</v>
      </c>
      <c r="B69" s="11" t="n">
        <v>14</v>
      </c>
      <c r="C69" s="13" t="s">
        <v>323</v>
      </c>
      <c r="D69" s="12" t="s">
        <v>231</v>
      </c>
      <c r="E69" s="11"/>
      <c r="F69" s="11"/>
      <c r="G69" s="11"/>
      <c r="H69" s="11"/>
      <c r="I69" s="11" t="s">
        <v>166</v>
      </c>
      <c r="J69" s="11" t="str">
        <f aca="false">IF(OR(E69="X",H69="X"),"Não","Sim")</f>
        <v>Sim</v>
      </c>
      <c r="K69" s="12"/>
      <c r="L69" s="12" t="s">
        <v>324</v>
      </c>
    </row>
    <row r="70" customFormat="false" ht="15" hidden="false" customHeight="true" outlineLevel="0" collapsed="false">
      <c r="A70" s="13" t="s">
        <v>87</v>
      </c>
      <c r="B70" s="11" t="n">
        <v>15</v>
      </c>
      <c r="C70" s="13" t="s">
        <v>325</v>
      </c>
      <c r="D70" s="12" t="s">
        <v>254</v>
      </c>
      <c r="E70" s="11"/>
      <c r="F70" s="11"/>
      <c r="G70" s="11"/>
      <c r="H70" s="11"/>
      <c r="I70" s="11"/>
      <c r="J70" s="11" t="str">
        <f aca="false">IF(OR(E70="X",H70="X"),"Não","Sim")</f>
        <v>Sim</v>
      </c>
      <c r="K70" s="12"/>
      <c r="L70" s="12" t="s">
        <v>326</v>
      </c>
    </row>
    <row r="71" customFormat="false" ht="15" hidden="false" customHeight="true" outlineLevel="0" collapsed="false">
      <c r="A71" s="13" t="s">
        <v>87</v>
      </c>
      <c r="B71" s="11" t="n">
        <v>16</v>
      </c>
      <c r="C71" s="13" t="s">
        <v>327</v>
      </c>
      <c r="D71" s="12" t="s">
        <v>206</v>
      </c>
      <c r="E71" s="11"/>
      <c r="F71" s="11"/>
      <c r="G71" s="11"/>
      <c r="H71" s="11"/>
      <c r="I71" s="11"/>
      <c r="J71" s="11" t="str">
        <f aca="false">IF(OR(E71="X",H71="X"),"Não","Sim")</f>
        <v>Sim</v>
      </c>
      <c r="K71" s="12"/>
      <c r="L71" s="12" t="s">
        <v>328</v>
      </c>
    </row>
    <row r="72" customFormat="false" ht="34.5" hidden="false" customHeight="true" outlineLevel="0" collapsed="false">
      <c r="A72" s="13" t="s">
        <v>87</v>
      </c>
      <c r="B72" s="11" t="n">
        <v>17</v>
      </c>
      <c r="C72" s="13" t="s">
        <v>329</v>
      </c>
      <c r="D72" s="12" t="s">
        <v>184</v>
      </c>
      <c r="E72" s="11"/>
      <c r="F72" s="11"/>
      <c r="G72" s="11"/>
      <c r="H72" s="11"/>
      <c r="I72" s="11" t="s">
        <v>166</v>
      </c>
      <c r="J72" s="11" t="str">
        <f aca="false">IF(OR(E72="X",H72="X"),"Não","Sim")</f>
        <v>Sim</v>
      </c>
      <c r="K72" s="12"/>
      <c r="L72" s="12" t="s">
        <v>330</v>
      </c>
    </row>
    <row r="73" customFormat="false" ht="23.25" hidden="false" customHeight="true" outlineLevel="0" collapsed="false">
      <c r="A73" s="13" t="s">
        <v>87</v>
      </c>
      <c r="B73" s="11" t="n">
        <v>18</v>
      </c>
      <c r="C73" s="13" t="s">
        <v>331</v>
      </c>
      <c r="D73" s="12" t="s">
        <v>221</v>
      </c>
      <c r="E73" s="11"/>
      <c r="F73" s="11"/>
      <c r="G73" s="11"/>
      <c r="H73" s="11" t="s">
        <v>166</v>
      </c>
      <c r="I73" s="11"/>
      <c r="J73" s="11" t="str">
        <f aca="false">IF(OR(E73="X",H73="X"),"Não","Sim")</f>
        <v>Não</v>
      </c>
      <c r="K73" s="12"/>
      <c r="L73" s="12" t="s">
        <v>332</v>
      </c>
    </row>
    <row r="74" customFormat="false" ht="23.25" hidden="false" customHeight="true" outlineLevel="0" collapsed="false">
      <c r="A74" s="13" t="s">
        <v>87</v>
      </c>
      <c r="B74" s="11" t="n">
        <v>19</v>
      </c>
      <c r="C74" s="13" t="s">
        <v>333</v>
      </c>
      <c r="D74" s="12" t="s">
        <v>334</v>
      </c>
      <c r="E74" s="11"/>
      <c r="F74" s="11"/>
      <c r="G74" s="11"/>
      <c r="H74" s="11"/>
      <c r="I74" s="11" t="s">
        <v>166</v>
      </c>
      <c r="J74" s="11" t="str">
        <f aca="false">IF(OR(E74="X",H74="X"),"Não","Sim")</f>
        <v>Sim</v>
      </c>
      <c r="K74" s="12"/>
      <c r="L74" s="12" t="s">
        <v>335</v>
      </c>
    </row>
    <row r="75" customFormat="false" ht="23.25" hidden="false" customHeight="true" outlineLevel="0" collapsed="false">
      <c r="A75" s="13" t="s">
        <v>87</v>
      </c>
      <c r="B75" s="11" t="n">
        <v>20</v>
      </c>
      <c r="C75" s="13" t="s">
        <v>336</v>
      </c>
      <c r="D75" s="12" t="s">
        <v>184</v>
      </c>
      <c r="E75" s="11"/>
      <c r="F75" s="11"/>
      <c r="G75" s="11"/>
      <c r="H75" s="11"/>
      <c r="I75" s="11" t="s">
        <v>166</v>
      </c>
      <c r="J75" s="11" t="str">
        <f aca="false">IF(OR(E75="X",H75="X"),"Não","Sim")</f>
        <v>Sim</v>
      </c>
      <c r="K75" s="12"/>
      <c r="L75" s="12" t="s">
        <v>337</v>
      </c>
    </row>
    <row r="76" customFormat="false" ht="23.25" hidden="false" customHeight="true" outlineLevel="0" collapsed="false">
      <c r="A76" s="13" t="s">
        <v>87</v>
      </c>
      <c r="B76" s="11" t="n">
        <v>21</v>
      </c>
      <c r="C76" s="13" t="s">
        <v>338</v>
      </c>
      <c r="D76" s="12" t="s">
        <v>184</v>
      </c>
      <c r="E76" s="11"/>
      <c r="F76" s="11"/>
      <c r="G76" s="11"/>
      <c r="H76" s="11"/>
      <c r="I76" s="11" t="s">
        <v>166</v>
      </c>
      <c r="J76" s="11" t="str">
        <f aca="false">IF(OR(E76="X",H76="X"),"Não","Sim")</f>
        <v>Sim</v>
      </c>
      <c r="K76" s="12"/>
      <c r="L76" s="12" t="s">
        <v>339</v>
      </c>
    </row>
    <row r="77" customFormat="false" ht="23.25" hidden="false" customHeight="true" outlineLevel="0" collapsed="false">
      <c r="A77" s="13" t="s">
        <v>87</v>
      </c>
      <c r="B77" s="11" t="n">
        <v>22</v>
      </c>
      <c r="C77" s="13" t="s">
        <v>340</v>
      </c>
      <c r="D77" s="12" t="s">
        <v>341</v>
      </c>
      <c r="E77" s="11"/>
      <c r="F77" s="11"/>
      <c r="G77" s="11"/>
      <c r="H77" s="11"/>
      <c r="I77" s="11" t="s">
        <v>166</v>
      </c>
      <c r="J77" s="11" t="str">
        <f aca="false">IF(OR(E77="X",H77="X"),"Não","Sim")</f>
        <v>Sim</v>
      </c>
      <c r="K77" s="12"/>
      <c r="L77" s="12" t="s">
        <v>342</v>
      </c>
    </row>
    <row r="78" customFormat="false" ht="15" hidden="false" customHeight="true" outlineLevel="0" collapsed="false">
      <c r="A78" s="13" t="s">
        <v>87</v>
      </c>
      <c r="B78" s="11" t="n">
        <v>23</v>
      </c>
      <c r="C78" s="13" t="s">
        <v>343</v>
      </c>
      <c r="D78" s="12" t="s">
        <v>215</v>
      </c>
      <c r="E78" s="11"/>
      <c r="F78" s="11"/>
      <c r="G78" s="11"/>
      <c r="H78" s="11"/>
      <c r="I78" s="11" t="s">
        <v>166</v>
      </c>
      <c r="J78" s="11" t="str">
        <f aca="false">IF(OR(E78="X",H78="X"),"Não","Sim")</f>
        <v>Sim</v>
      </c>
      <c r="K78" s="12"/>
      <c r="L78" s="12" t="s">
        <v>344</v>
      </c>
    </row>
    <row r="79" customFormat="false" ht="23.25" hidden="false" customHeight="true" outlineLevel="0" collapsed="false">
      <c r="A79" s="13" t="s">
        <v>87</v>
      </c>
      <c r="B79" s="11" t="n">
        <v>24</v>
      </c>
      <c r="C79" s="13" t="s">
        <v>345</v>
      </c>
      <c r="D79" s="12" t="s">
        <v>206</v>
      </c>
      <c r="E79" s="11"/>
      <c r="F79" s="11"/>
      <c r="G79" s="11"/>
      <c r="H79" s="11"/>
      <c r="I79" s="11"/>
      <c r="J79" s="11" t="str">
        <f aca="false">IF(OR(E79="X",H79="X"),"Não","Sim")</f>
        <v>Sim</v>
      </c>
      <c r="K79" s="12"/>
      <c r="L79" s="12" t="s">
        <v>346</v>
      </c>
    </row>
    <row r="80" customFormat="false" ht="23.25" hidden="false" customHeight="true" outlineLevel="0" collapsed="false">
      <c r="A80" s="13" t="s">
        <v>87</v>
      </c>
      <c r="B80" s="11" t="n">
        <v>25</v>
      </c>
      <c r="C80" s="13" t="s">
        <v>347</v>
      </c>
      <c r="D80" s="12" t="s">
        <v>286</v>
      </c>
      <c r="E80" s="11"/>
      <c r="F80" s="11"/>
      <c r="G80" s="11"/>
      <c r="H80" s="11"/>
      <c r="I80" s="11" t="s">
        <v>166</v>
      </c>
      <c r="J80" s="11" t="str">
        <f aca="false">IF(OR(E80="X",H80="X"),"Não","Sim")</f>
        <v>Sim</v>
      </c>
      <c r="K80" s="12"/>
      <c r="L80" s="12" t="s">
        <v>348</v>
      </c>
    </row>
    <row r="81" customFormat="false" ht="23.25" hidden="false" customHeight="true" outlineLevel="0" collapsed="false">
      <c r="A81" s="13" t="s">
        <v>87</v>
      </c>
      <c r="B81" s="11" t="n">
        <v>26</v>
      </c>
      <c r="C81" s="13" t="s">
        <v>349</v>
      </c>
      <c r="D81" s="12" t="s">
        <v>221</v>
      </c>
      <c r="E81" s="11"/>
      <c r="F81" s="11"/>
      <c r="G81" s="11"/>
      <c r="H81" s="11" t="s">
        <v>166</v>
      </c>
      <c r="I81" s="11"/>
      <c r="J81" s="11" t="str">
        <f aca="false">IF(OR(E81="X",H81="X"),"Não","Sim")</f>
        <v>Não</v>
      </c>
      <c r="K81" s="12"/>
      <c r="L81" s="12" t="s">
        <v>350</v>
      </c>
    </row>
    <row r="82" customFormat="false" ht="15" hidden="false" customHeight="true" outlineLevel="0" collapsed="false">
      <c r="A82" s="13" t="s">
        <v>87</v>
      </c>
      <c r="B82" s="11" t="n">
        <v>27</v>
      </c>
      <c r="C82" s="13" t="s">
        <v>351</v>
      </c>
      <c r="D82" s="12" t="s">
        <v>286</v>
      </c>
      <c r="E82" s="11"/>
      <c r="F82" s="11"/>
      <c r="G82" s="11"/>
      <c r="H82" s="11"/>
      <c r="I82" s="11" t="s">
        <v>166</v>
      </c>
      <c r="J82" s="11" t="str">
        <f aca="false">IF(OR(E82="X",H82="X"),"Não","Sim")</f>
        <v>Sim</v>
      </c>
      <c r="K82" s="12"/>
      <c r="L82" s="12" t="s">
        <v>352</v>
      </c>
    </row>
    <row r="83" customFormat="false" ht="23.25" hidden="false" customHeight="true" outlineLevel="0" collapsed="false">
      <c r="A83" s="13" t="s">
        <v>87</v>
      </c>
      <c r="B83" s="11" t="n">
        <v>28</v>
      </c>
      <c r="C83" s="13" t="s">
        <v>353</v>
      </c>
      <c r="D83" s="12" t="s">
        <v>286</v>
      </c>
      <c r="E83" s="11"/>
      <c r="F83" s="11"/>
      <c r="G83" s="11"/>
      <c r="H83" s="11"/>
      <c r="I83" s="11" t="s">
        <v>166</v>
      </c>
      <c r="J83" s="11" t="str">
        <f aca="false">IF(OR(E83="X",H83="X"),"Não","Sim")</f>
        <v>Sim</v>
      </c>
      <c r="K83" s="12"/>
      <c r="L83" s="12" t="s">
        <v>354</v>
      </c>
    </row>
    <row r="84" customFormat="false" ht="15" hidden="false" customHeight="true" outlineLevel="0" collapsed="false">
      <c r="A84" s="13" t="s">
        <v>87</v>
      </c>
      <c r="B84" s="11" t="n">
        <v>29</v>
      </c>
      <c r="C84" s="13" t="s">
        <v>355</v>
      </c>
      <c r="D84" s="12" t="s">
        <v>286</v>
      </c>
      <c r="E84" s="11"/>
      <c r="F84" s="11"/>
      <c r="G84" s="11"/>
      <c r="H84" s="11"/>
      <c r="I84" s="11" t="s">
        <v>166</v>
      </c>
      <c r="J84" s="11" t="str">
        <f aca="false">IF(OR(E84="X",H84="X"),"Não","Sim")</f>
        <v>Sim</v>
      </c>
      <c r="K84" s="12"/>
      <c r="L84" s="12" t="s">
        <v>356</v>
      </c>
    </row>
    <row r="85" customFormat="false" ht="15" hidden="false" customHeight="true" outlineLevel="0" collapsed="false">
      <c r="A85" s="13" t="s">
        <v>87</v>
      </c>
      <c r="B85" s="11" t="n">
        <v>30</v>
      </c>
      <c r="C85" s="13" t="s">
        <v>357</v>
      </c>
      <c r="D85" s="12" t="s">
        <v>358</v>
      </c>
      <c r="E85" s="11"/>
      <c r="F85" s="11"/>
      <c r="G85" s="11"/>
      <c r="H85" s="11"/>
      <c r="I85" s="11"/>
      <c r="J85" s="11" t="str">
        <f aca="false">IF(OR(E85="X",H85="X"),"Não","Sim")</f>
        <v>Sim</v>
      </c>
      <c r="K85" s="12"/>
      <c r="L85" s="12" t="s">
        <v>359</v>
      </c>
    </row>
    <row r="86" customFormat="false" ht="15" hidden="false" customHeight="true" outlineLevel="0" collapsed="false">
      <c r="A86" s="13" t="s">
        <v>87</v>
      </c>
      <c r="B86" s="11" t="n">
        <v>31</v>
      </c>
      <c r="C86" s="13" t="s">
        <v>360</v>
      </c>
      <c r="D86" s="12" t="s">
        <v>361</v>
      </c>
      <c r="E86" s="11"/>
      <c r="F86" s="11"/>
      <c r="G86" s="11" t="s">
        <v>166</v>
      </c>
      <c r="H86" s="11"/>
      <c r="I86" s="11"/>
      <c r="J86" s="11" t="str">
        <f aca="false">IF(OR(E86="X",H86="X"),"Não","Sim")</f>
        <v>Sim</v>
      </c>
      <c r="K86" s="12"/>
      <c r="L86" s="12" t="s">
        <v>362</v>
      </c>
    </row>
    <row r="87" customFormat="false" ht="15" hidden="false" customHeight="true" outlineLevel="0" collapsed="false">
      <c r="A87" s="13" t="s">
        <v>94</v>
      </c>
      <c r="B87" s="11" t="n">
        <v>1</v>
      </c>
      <c r="C87" s="13" t="s">
        <v>363</v>
      </c>
      <c r="D87" s="12" t="s">
        <v>165</v>
      </c>
      <c r="E87" s="11" t="s">
        <v>166</v>
      </c>
      <c r="F87" s="11"/>
      <c r="G87" s="11"/>
      <c r="H87" s="11"/>
      <c r="I87" s="11"/>
      <c r="J87" s="11" t="str">
        <f aca="false">IF(OR(E87="X",H87="X"),"Não","Sim")</f>
        <v>Não</v>
      </c>
      <c r="K87" s="12"/>
      <c r="L87" s="12" t="s">
        <v>364</v>
      </c>
    </row>
    <row r="88" customFormat="false" ht="15" hidden="false" customHeight="true" outlineLevel="0" collapsed="false">
      <c r="A88" s="13" t="s">
        <v>94</v>
      </c>
      <c r="B88" s="11" t="n">
        <v>2</v>
      </c>
      <c r="C88" s="13" t="s">
        <v>295</v>
      </c>
      <c r="D88" s="12" t="s">
        <v>165</v>
      </c>
      <c r="E88" s="11"/>
      <c r="F88" s="11" t="s">
        <v>166</v>
      </c>
      <c r="G88" s="11"/>
      <c r="H88" s="11" t="s">
        <v>166</v>
      </c>
      <c r="I88" s="11"/>
      <c r="J88" s="11" t="str">
        <f aca="false">IF(OR(E88="X",H88="X"),"Não","Sim")</f>
        <v>Não</v>
      </c>
      <c r="K88" s="12" t="s">
        <v>309</v>
      </c>
      <c r="L88" s="12" t="s">
        <v>365</v>
      </c>
    </row>
    <row r="89" customFormat="false" ht="15" hidden="false" customHeight="true" outlineLevel="0" collapsed="false">
      <c r="A89" s="13" t="s">
        <v>94</v>
      </c>
      <c r="B89" s="11" t="n">
        <v>3</v>
      </c>
      <c r="C89" s="13" t="s">
        <v>268</v>
      </c>
      <c r="D89" s="12" t="s">
        <v>165</v>
      </c>
      <c r="E89" s="11"/>
      <c r="F89" s="11" t="s">
        <v>166</v>
      </c>
      <c r="G89" s="11"/>
      <c r="H89" s="11" t="s">
        <v>166</v>
      </c>
      <c r="I89" s="11"/>
      <c r="J89" s="11" t="str">
        <f aca="false">IF(OR(E89="X",H89="X"),"Não","Sim")</f>
        <v>Não</v>
      </c>
      <c r="K89" s="12" t="s">
        <v>281</v>
      </c>
      <c r="L89" s="12" t="s">
        <v>366</v>
      </c>
    </row>
    <row r="90" customFormat="false" ht="15" hidden="false" customHeight="true" outlineLevel="0" collapsed="false">
      <c r="A90" s="13" t="s">
        <v>94</v>
      </c>
      <c r="B90" s="11" t="n">
        <v>4</v>
      </c>
      <c r="C90" s="13" t="s">
        <v>367</v>
      </c>
      <c r="D90" s="12" t="s">
        <v>213</v>
      </c>
      <c r="E90" s="11"/>
      <c r="F90" s="11"/>
      <c r="G90" s="11"/>
      <c r="H90" s="11" t="s">
        <v>166</v>
      </c>
      <c r="I90" s="11" t="s">
        <v>166</v>
      </c>
      <c r="J90" s="11" t="str">
        <f aca="false">IF(OR(E90="X",H90="X"),"Não","Sim")</f>
        <v>Não</v>
      </c>
      <c r="K90" s="12"/>
      <c r="L90" s="12" t="s">
        <v>368</v>
      </c>
    </row>
    <row r="91" customFormat="false" ht="23.25" hidden="false" customHeight="true" outlineLevel="0" collapsed="false">
      <c r="A91" s="13" t="s">
        <v>94</v>
      </c>
      <c r="B91" s="11" t="n">
        <v>5</v>
      </c>
      <c r="C91" s="13" t="s">
        <v>288</v>
      </c>
      <c r="D91" s="12" t="s">
        <v>165</v>
      </c>
      <c r="E91" s="11"/>
      <c r="F91" s="11" t="s">
        <v>166</v>
      </c>
      <c r="G91" s="11"/>
      <c r="H91" s="11"/>
      <c r="I91" s="11" t="s">
        <v>166</v>
      </c>
      <c r="J91" s="11" t="str">
        <f aca="false">IF(OR(E91="X",H91="X"),"Não","Sim")</f>
        <v>Sim</v>
      </c>
      <c r="K91" s="12" t="s">
        <v>369</v>
      </c>
      <c r="L91" s="12" t="s">
        <v>370</v>
      </c>
    </row>
    <row r="92" customFormat="false" ht="23.25" hidden="false" customHeight="true" outlineLevel="0" collapsed="false">
      <c r="A92" s="13" t="s">
        <v>94</v>
      </c>
      <c r="B92" s="11" t="n">
        <v>6</v>
      </c>
      <c r="C92" s="13" t="s">
        <v>371</v>
      </c>
      <c r="D92" s="12" t="s">
        <v>165</v>
      </c>
      <c r="E92" s="11"/>
      <c r="F92" s="11"/>
      <c r="G92" s="11"/>
      <c r="H92" s="11"/>
      <c r="I92" s="11" t="s">
        <v>166</v>
      </c>
      <c r="J92" s="11" t="str">
        <f aca="false">IF(OR(E92="X",H92="X"),"Não","Sim")</f>
        <v>Sim</v>
      </c>
      <c r="K92" s="12"/>
      <c r="L92" s="12" t="s">
        <v>372</v>
      </c>
    </row>
    <row r="93" customFormat="false" ht="15" hidden="false" customHeight="true" outlineLevel="0" collapsed="false">
      <c r="A93" s="13" t="s">
        <v>94</v>
      </c>
      <c r="B93" s="11" t="n">
        <v>7</v>
      </c>
      <c r="C93" s="13" t="s">
        <v>279</v>
      </c>
      <c r="D93" s="12" t="s">
        <v>165</v>
      </c>
      <c r="E93" s="11"/>
      <c r="F93" s="11" t="s">
        <v>166</v>
      </c>
      <c r="G93" s="11"/>
      <c r="H93" s="11"/>
      <c r="I93" s="11" t="s">
        <v>166</v>
      </c>
      <c r="J93" s="11" t="str">
        <f aca="false">IF(OR(E93="X",H93="X"),"Não","Sim")</f>
        <v>Sim</v>
      </c>
      <c r="K93" s="12" t="s">
        <v>373</v>
      </c>
      <c r="L93" s="12" t="s">
        <v>374</v>
      </c>
    </row>
    <row r="94" customFormat="false" ht="15" hidden="false" customHeight="true" outlineLevel="0" collapsed="false">
      <c r="A94" s="13" t="s">
        <v>94</v>
      </c>
      <c r="B94" s="11" t="n">
        <v>8</v>
      </c>
      <c r="C94" s="13" t="s">
        <v>375</v>
      </c>
      <c r="D94" s="12" t="s">
        <v>165</v>
      </c>
      <c r="E94" s="11"/>
      <c r="F94" s="11"/>
      <c r="G94" s="11"/>
      <c r="H94" s="11"/>
      <c r="I94" s="11" t="s">
        <v>166</v>
      </c>
      <c r="J94" s="11" t="str">
        <f aca="false">IF(OR(E94="X",H94="X"),"Não","Sim")</f>
        <v>Sim</v>
      </c>
      <c r="K94" s="12"/>
      <c r="L94" s="12" t="s">
        <v>376</v>
      </c>
    </row>
    <row r="95" customFormat="false" ht="15" hidden="false" customHeight="true" outlineLevel="0" collapsed="false">
      <c r="A95" s="13" t="s">
        <v>94</v>
      </c>
      <c r="B95" s="11" t="n">
        <v>9</v>
      </c>
      <c r="C95" s="13" t="s">
        <v>377</v>
      </c>
      <c r="D95" s="12" t="s">
        <v>286</v>
      </c>
      <c r="E95" s="11"/>
      <c r="F95" s="11"/>
      <c r="G95" s="11"/>
      <c r="H95" s="11" t="s">
        <v>166</v>
      </c>
      <c r="I95" s="11" t="s">
        <v>166</v>
      </c>
      <c r="J95" s="11" t="str">
        <f aca="false">IF(OR(E95="X",H95="X"),"Não","Sim")</f>
        <v>Não</v>
      </c>
      <c r="K95" s="12"/>
      <c r="L95" s="12" t="s">
        <v>378</v>
      </c>
    </row>
    <row r="96" customFormat="false" ht="15" hidden="false" customHeight="true" outlineLevel="0" collapsed="false">
      <c r="A96" s="13" t="s">
        <v>94</v>
      </c>
      <c r="B96" s="11" t="n">
        <v>10</v>
      </c>
      <c r="C96" s="13" t="s">
        <v>379</v>
      </c>
      <c r="D96" s="12" t="s">
        <v>286</v>
      </c>
      <c r="E96" s="11"/>
      <c r="F96" s="11"/>
      <c r="G96" s="11"/>
      <c r="H96" s="11" t="s">
        <v>166</v>
      </c>
      <c r="I96" s="11" t="s">
        <v>166</v>
      </c>
      <c r="J96" s="11" t="str">
        <f aca="false">IF(OR(E96="X",H96="X"),"Não","Sim")</f>
        <v>Não</v>
      </c>
      <c r="K96" s="12"/>
      <c r="L96" s="12" t="s">
        <v>380</v>
      </c>
    </row>
    <row r="97" customFormat="false" ht="23.25" hidden="false" customHeight="true" outlineLevel="0" collapsed="false">
      <c r="A97" s="13" t="s">
        <v>94</v>
      </c>
      <c r="B97" s="11" t="n">
        <v>11</v>
      </c>
      <c r="C97" s="13" t="s">
        <v>381</v>
      </c>
      <c r="D97" s="12" t="s">
        <v>286</v>
      </c>
      <c r="E97" s="11"/>
      <c r="F97" s="11"/>
      <c r="G97" s="11"/>
      <c r="H97" s="11" t="s">
        <v>166</v>
      </c>
      <c r="I97" s="11" t="s">
        <v>166</v>
      </c>
      <c r="J97" s="11" t="str">
        <f aca="false">IF(OR(E97="X",H97="X"),"Não","Sim")</f>
        <v>Não</v>
      </c>
      <c r="K97" s="12"/>
      <c r="L97" s="12" t="s">
        <v>382</v>
      </c>
    </row>
    <row r="98" customFormat="false" ht="15" hidden="false" customHeight="true" outlineLevel="0" collapsed="false">
      <c r="A98" s="13" t="s">
        <v>94</v>
      </c>
      <c r="B98" s="11" t="n">
        <v>12</v>
      </c>
      <c r="C98" s="13" t="s">
        <v>383</v>
      </c>
      <c r="D98" s="12" t="s">
        <v>221</v>
      </c>
      <c r="E98" s="11"/>
      <c r="F98" s="11"/>
      <c r="G98" s="11"/>
      <c r="H98" s="11" t="s">
        <v>166</v>
      </c>
      <c r="I98" s="11"/>
      <c r="J98" s="11" t="str">
        <f aca="false">IF(OR(E98="X",H98="X"),"Não","Sim")</f>
        <v>Não</v>
      </c>
      <c r="K98" s="12"/>
      <c r="L98" s="12" t="s">
        <v>384</v>
      </c>
    </row>
    <row r="99" customFormat="false" ht="15" hidden="false" customHeight="true" outlineLevel="0" collapsed="false">
      <c r="A99" s="13" t="s">
        <v>98</v>
      </c>
      <c r="B99" s="11" t="n">
        <v>1</v>
      </c>
      <c r="C99" s="13" t="s">
        <v>385</v>
      </c>
      <c r="D99" s="12" t="s">
        <v>165</v>
      </c>
      <c r="E99" s="11" t="s">
        <v>166</v>
      </c>
      <c r="F99" s="11"/>
      <c r="G99" s="11"/>
      <c r="H99" s="11"/>
      <c r="I99" s="11"/>
      <c r="J99" s="11" t="str">
        <f aca="false">IF(OR(E99="X",H99="X"),"Não","Sim")</f>
        <v>Não</v>
      </c>
      <c r="K99" s="12"/>
      <c r="L99" s="12" t="s">
        <v>386</v>
      </c>
    </row>
    <row r="100" customFormat="false" ht="15" hidden="false" customHeight="true" outlineLevel="0" collapsed="false">
      <c r="A100" s="13" t="s">
        <v>98</v>
      </c>
      <c r="B100" s="11" t="n">
        <v>2</v>
      </c>
      <c r="C100" s="13" t="s">
        <v>363</v>
      </c>
      <c r="D100" s="12" t="s">
        <v>165</v>
      </c>
      <c r="E100" s="11"/>
      <c r="F100" s="11" t="s">
        <v>166</v>
      </c>
      <c r="G100" s="11" t="s">
        <v>166</v>
      </c>
      <c r="H100" s="11" t="s">
        <v>166</v>
      </c>
      <c r="I100" s="11"/>
      <c r="J100" s="11" t="str">
        <f aca="false">IF(OR(E100="X",H100="X"),"Não","Sim")</f>
        <v>Não</v>
      </c>
      <c r="K100" s="12" t="s">
        <v>387</v>
      </c>
      <c r="L100" s="12" t="s">
        <v>388</v>
      </c>
    </row>
    <row r="101" customFormat="false" ht="34.5" hidden="false" customHeight="true" outlineLevel="0" collapsed="false">
      <c r="A101" s="13" t="s">
        <v>98</v>
      </c>
      <c r="B101" s="11" t="n">
        <v>3</v>
      </c>
      <c r="C101" s="13" t="s">
        <v>389</v>
      </c>
      <c r="D101" s="12" t="s">
        <v>165</v>
      </c>
      <c r="E101" s="11"/>
      <c r="F101" s="11"/>
      <c r="G101" s="11"/>
      <c r="H101" s="11" t="s">
        <v>166</v>
      </c>
      <c r="I101" s="11" t="s">
        <v>166</v>
      </c>
      <c r="J101" s="11" t="str">
        <f aca="false">IF(OR(E101="X",H101="X"),"Não","Sim")</f>
        <v>Não</v>
      </c>
      <c r="K101" s="12"/>
      <c r="L101" s="12" t="s">
        <v>390</v>
      </c>
    </row>
    <row r="102" customFormat="false" ht="15" hidden="false" customHeight="true" outlineLevel="0" collapsed="false">
      <c r="A102" s="13" t="s">
        <v>98</v>
      </c>
      <c r="B102" s="11" t="n">
        <v>4</v>
      </c>
      <c r="C102" s="13" t="s">
        <v>180</v>
      </c>
      <c r="D102" s="12" t="s">
        <v>231</v>
      </c>
      <c r="E102" s="11"/>
      <c r="F102" s="11"/>
      <c r="G102" s="11"/>
      <c r="H102" s="11" t="s">
        <v>166</v>
      </c>
      <c r="I102" s="11" t="s">
        <v>166</v>
      </c>
      <c r="J102" s="11" t="str">
        <f aca="false">IF(OR(E102="X",H102="X"),"Não","Sim")</f>
        <v>Não</v>
      </c>
      <c r="K102" s="12"/>
      <c r="L102" s="12" t="s">
        <v>391</v>
      </c>
    </row>
    <row r="103" customFormat="false" ht="15" hidden="false" customHeight="true" outlineLevel="0" collapsed="false">
      <c r="A103" s="13" t="s">
        <v>98</v>
      </c>
      <c r="B103" s="11" t="n">
        <v>5</v>
      </c>
      <c r="C103" s="13" t="s">
        <v>392</v>
      </c>
      <c r="D103" s="12" t="s">
        <v>318</v>
      </c>
      <c r="E103" s="11"/>
      <c r="F103" s="11"/>
      <c r="G103" s="11"/>
      <c r="H103" s="11" t="s">
        <v>166</v>
      </c>
      <c r="I103" s="11"/>
      <c r="J103" s="11" t="str">
        <f aca="false">IF(OR(E103="X",H103="X"),"Não","Sim")</f>
        <v>Não</v>
      </c>
      <c r="K103" s="12"/>
      <c r="L103" s="12" t="s">
        <v>393</v>
      </c>
    </row>
    <row r="104" customFormat="false" ht="15" hidden="false" customHeight="true" outlineLevel="0" collapsed="false">
      <c r="A104" s="13" t="s">
        <v>102</v>
      </c>
      <c r="B104" s="11" t="n">
        <v>1</v>
      </c>
      <c r="C104" s="13" t="s">
        <v>394</v>
      </c>
      <c r="D104" s="12" t="s">
        <v>165</v>
      </c>
      <c r="E104" s="11" t="s">
        <v>166</v>
      </c>
      <c r="F104" s="11"/>
      <c r="G104" s="11"/>
      <c r="H104" s="11"/>
      <c r="I104" s="11"/>
      <c r="J104" s="11" t="str">
        <f aca="false">IF(OR(E104="X",H104="X"),"Não","Sim")</f>
        <v>Não</v>
      </c>
      <c r="K104" s="12"/>
      <c r="L104" s="12" t="s">
        <v>395</v>
      </c>
    </row>
    <row r="105" customFormat="false" ht="15" hidden="false" customHeight="true" outlineLevel="0" collapsed="false">
      <c r="A105" s="13" t="s">
        <v>102</v>
      </c>
      <c r="B105" s="11" t="n">
        <v>2</v>
      </c>
      <c r="C105" s="13" t="s">
        <v>295</v>
      </c>
      <c r="D105" s="12" t="s">
        <v>165</v>
      </c>
      <c r="E105" s="11"/>
      <c r="F105" s="11" t="s">
        <v>166</v>
      </c>
      <c r="G105" s="11"/>
      <c r="H105" s="11" t="s">
        <v>166</v>
      </c>
      <c r="I105" s="11"/>
      <c r="J105" s="11" t="str">
        <f aca="false">IF(OR(E105="X",H105="X"),"Não","Sim")</f>
        <v>Não</v>
      </c>
      <c r="K105" s="12" t="s">
        <v>309</v>
      </c>
      <c r="L105" s="12" t="s">
        <v>396</v>
      </c>
    </row>
    <row r="106" customFormat="false" ht="15" hidden="false" customHeight="true" outlineLevel="0" collapsed="false">
      <c r="A106" s="13" t="s">
        <v>102</v>
      </c>
      <c r="B106" s="11" t="n">
        <v>3</v>
      </c>
      <c r="C106" s="13" t="s">
        <v>397</v>
      </c>
      <c r="D106" s="12" t="s">
        <v>178</v>
      </c>
      <c r="E106" s="11"/>
      <c r="F106" s="11"/>
      <c r="G106" s="11"/>
      <c r="H106" s="11" t="s">
        <v>166</v>
      </c>
      <c r="I106" s="11" t="s">
        <v>166</v>
      </c>
      <c r="J106" s="11" t="str">
        <f aca="false">IF(OR(E106="X",H106="X"),"Não","Sim")</f>
        <v>Não</v>
      </c>
      <c r="K106" s="12"/>
      <c r="L106" s="12" t="s">
        <v>398</v>
      </c>
    </row>
    <row r="107" customFormat="false" ht="15" hidden="false" customHeight="true" outlineLevel="0" collapsed="false">
      <c r="A107" s="13" t="s">
        <v>102</v>
      </c>
      <c r="B107" s="11" t="n">
        <v>4</v>
      </c>
      <c r="C107" s="13" t="s">
        <v>399</v>
      </c>
      <c r="D107" s="12" t="s">
        <v>175</v>
      </c>
      <c r="E107" s="11"/>
      <c r="F107" s="11"/>
      <c r="G107" s="11"/>
      <c r="H107" s="11" t="s">
        <v>166</v>
      </c>
      <c r="I107" s="11"/>
      <c r="J107" s="11" t="str">
        <f aca="false">IF(OR(E107="X",H107="X"),"Não","Sim")</f>
        <v>Não</v>
      </c>
      <c r="K107" s="12"/>
      <c r="L107" s="12" t="s">
        <v>400</v>
      </c>
    </row>
    <row r="108" customFormat="false" ht="15" hidden="false" customHeight="true" outlineLevel="0" collapsed="false">
      <c r="A108" s="13" t="s">
        <v>102</v>
      </c>
      <c r="B108" s="11" t="n">
        <v>5</v>
      </c>
      <c r="C108" s="13" t="s">
        <v>401</v>
      </c>
      <c r="D108" s="12" t="s">
        <v>402</v>
      </c>
      <c r="E108" s="11"/>
      <c r="F108" s="11"/>
      <c r="G108" s="11"/>
      <c r="H108" s="11" t="s">
        <v>166</v>
      </c>
      <c r="I108" s="11"/>
      <c r="J108" s="11" t="str">
        <f aca="false">IF(OR(E108="X",H108="X"),"Não","Sim")</f>
        <v>Não</v>
      </c>
      <c r="K108" s="12"/>
      <c r="L108" s="12" t="s">
        <v>403</v>
      </c>
    </row>
    <row r="109" customFormat="false" ht="15" hidden="false" customHeight="true" outlineLevel="0" collapsed="false">
      <c r="A109" s="13" t="s">
        <v>102</v>
      </c>
      <c r="B109" s="11" t="n">
        <v>6</v>
      </c>
      <c r="C109" s="13" t="s">
        <v>404</v>
      </c>
      <c r="D109" s="12" t="s">
        <v>298</v>
      </c>
      <c r="E109" s="11"/>
      <c r="F109" s="11"/>
      <c r="G109" s="11"/>
      <c r="H109" s="11"/>
      <c r="I109" s="11"/>
      <c r="J109" s="11" t="str">
        <f aca="false">IF(OR(E109="X",H109="X"),"Não","Sim")</f>
        <v>Sim</v>
      </c>
      <c r="K109" s="12"/>
      <c r="L109" s="12" t="s">
        <v>405</v>
      </c>
    </row>
    <row r="110" customFormat="false" ht="15" hidden="false" customHeight="true" outlineLevel="0" collapsed="false">
      <c r="A110" s="13" t="s">
        <v>102</v>
      </c>
      <c r="B110" s="11" t="n">
        <v>7</v>
      </c>
      <c r="C110" s="13" t="s">
        <v>406</v>
      </c>
      <c r="D110" s="12" t="s">
        <v>187</v>
      </c>
      <c r="E110" s="11"/>
      <c r="F110" s="11"/>
      <c r="G110" s="11"/>
      <c r="H110" s="11" t="s">
        <v>166</v>
      </c>
      <c r="I110" s="11"/>
      <c r="J110" s="11" t="str">
        <f aca="false">IF(OR(E110="X",H110="X"),"Não","Sim")</f>
        <v>Não</v>
      </c>
      <c r="K110" s="12"/>
      <c r="L110" s="12" t="s">
        <v>407</v>
      </c>
    </row>
    <row r="111" customFormat="false" ht="15" hidden="false" customHeight="true" outlineLevel="0" collapsed="false">
      <c r="A111" s="13" t="s">
        <v>108</v>
      </c>
      <c r="B111" s="11" t="n">
        <v>1</v>
      </c>
      <c r="C111" s="13" t="s">
        <v>408</v>
      </c>
      <c r="D111" s="12" t="s">
        <v>165</v>
      </c>
      <c r="E111" s="11" t="s">
        <v>166</v>
      </c>
      <c r="F111" s="11"/>
      <c r="G111" s="11"/>
      <c r="H111" s="11"/>
      <c r="I111" s="11"/>
      <c r="J111" s="11" t="str">
        <f aca="false">IF(OR(E111="X",H111="X"),"Não","Sim")</f>
        <v>Não</v>
      </c>
      <c r="K111" s="12"/>
      <c r="L111" s="12" t="s">
        <v>409</v>
      </c>
    </row>
    <row r="112" customFormat="false" ht="15" hidden="false" customHeight="true" outlineLevel="0" collapsed="false">
      <c r="A112" s="13" t="s">
        <v>108</v>
      </c>
      <c r="B112" s="11" t="n">
        <v>2</v>
      </c>
      <c r="C112" s="13" t="s">
        <v>195</v>
      </c>
      <c r="D112" s="12" t="s">
        <v>165</v>
      </c>
      <c r="E112" s="11"/>
      <c r="F112" s="11" t="s">
        <v>166</v>
      </c>
      <c r="G112" s="11"/>
      <c r="H112" s="11" t="s">
        <v>166</v>
      </c>
      <c r="I112" s="11"/>
      <c r="J112" s="11" t="str">
        <f aca="false">IF(OR(E112="X",H112="X"),"Não","Sim")</f>
        <v>Não</v>
      </c>
      <c r="K112" s="12" t="s">
        <v>228</v>
      </c>
      <c r="L112" s="12" t="s">
        <v>410</v>
      </c>
    </row>
    <row r="113" customFormat="false" ht="15" hidden="false" customHeight="true" outlineLevel="0" collapsed="false">
      <c r="A113" s="13" t="s">
        <v>108</v>
      </c>
      <c r="B113" s="11" t="n">
        <v>3</v>
      </c>
      <c r="C113" s="13" t="s">
        <v>295</v>
      </c>
      <c r="D113" s="12" t="s">
        <v>165</v>
      </c>
      <c r="E113" s="11"/>
      <c r="F113" s="11" t="s">
        <v>166</v>
      </c>
      <c r="G113" s="11"/>
      <c r="H113" s="11"/>
      <c r="I113" s="11"/>
      <c r="J113" s="11" t="str">
        <f aca="false">IF(OR(E113="X",H113="X"),"Não","Sim")</f>
        <v>Sim</v>
      </c>
      <c r="K113" s="12" t="s">
        <v>309</v>
      </c>
      <c r="L113" s="12" t="s">
        <v>411</v>
      </c>
    </row>
    <row r="114" customFormat="false" ht="15" hidden="false" customHeight="true" outlineLevel="0" collapsed="false">
      <c r="A114" s="13" t="s">
        <v>108</v>
      </c>
      <c r="B114" s="11" t="n">
        <v>4</v>
      </c>
      <c r="C114" s="13" t="s">
        <v>412</v>
      </c>
      <c r="D114" s="12" t="s">
        <v>318</v>
      </c>
      <c r="E114" s="11"/>
      <c r="F114" s="11"/>
      <c r="G114" s="11"/>
      <c r="H114" s="11" t="s">
        <v>166</v>
      </c>
      <c r="I114" s="11"/>
      <c r="J114" s="11" t="str">
        <f aca="false">IF(OR(E114="X",H114="X"),"Não","Sim")</f>
        <v>Não</v>
      </c>
      <c r="K114" s="12"/>
      <c r="L114" s="12" t="s">
        <v>413</v>
      </c>
    </row>
    <row r="115" customFormat="false" ht="15" hidden="false" customHeight="true" outlineLevel="0" collapsed="false">
      <c r="A115" s="13" t="s">
        <v>108</v>
      </c>
      <c r="B115" s="11" t="n">
        <v>5</v>
      </c>
      <c r="C115" s="13" t="s">
        <v>414</v>
      </c>
      <c r="D115" s="12" t="s">
        <v>215</v>
      </c>
      <c r="E115" s="11"/>
      <c r="F115" s="11"/>
      <c r="G115" s="11"/>
      <c r="H115" s="11"/>
      <c r="I115" s="11" t="s">
        <v>166</v>
      </c>
      <c r="J115" s="11" t="str">
        <f aca="false">IF(OR(E115="X",H115="X"),"Não","Sim")</f>
        <v>Sim</v>
      </c>
      <c r="K115" s="12"/>
      <c r="L115" s="12" t="s">
        <v>415</v>
      </c>
    </row>
    <row r="116" customFormat="false" ht="15" hidden="false" customHeight="true" outlineLevel="0" collapsed="false">
      <c r="A116" s="13" t="s">
        <v>108</v>
      </c>
      <c r="B116" s="11" t="n">
        <v>6</v>
      </c>
      <c r="C116" s="13" t="s">
        <v>416</v>
      </c>
      <c r="D116" s="12" t="s">
        <v>318</v>
      </c>
      <c r="E116" s="11"/>
      <c r="F116" s="11"/>
      <c r="G116" s="11"/>
      <c r="H116" s="11"/>
      <c r="I116" s="11" t="s">
        <v>166</v>
      </c>
      <c r="J116" s="11" t="str">
        <f aca="false">IF(OR(E116="X",H116="X"),"Não","Sim")</f>
        <v>Sim</v>
      </c>
      <c r="K116" s="12"/>
      <c r="L116" s="12" t="s">
        <v>417</v>
      </c>
    </row>
    <row r="117" customFormat="false" ht="23.25" hidden="false" customHeight="true" outlineLevel="0" collapsed="false">
      <c r="A117" s="13" t="s">
        <v>108</v>
      </c>
      <c r="B117" s="11" t="n">
        <v>7</v>
      </c>
      <c r="C117" s="13" t="s">
        <v>418</v>
      </c>
      <c r="D117" s="12" t="s">
        <v>165</v>
      </c>
      <c r="E117" s="11"/>
      <c r="F117" s="11" t="s">
        <v>166</v>
      </c>
      <c r="G117" s="11"/>
      <c r="H117" s="11"/>
      <c r="I117" s="11"/>
      <c r="J117" s="11" t="str">
        <f aca="false">IF(OR(E117="X",H117="X"),"Não","Sim")</f>
        <v>Sim</v>
      </c>
      <c r="K117" s="12" t="s">
        <v>218</v>
      </c>
      <c r="L117" s="12" t="s">
        <v>419</v>
      </c>
    </row>
    <row r="118" customFormat="false" ht="23.25" hidden="false" customHeight="true" outlineLevel="0" collapsed="false">
      <c r="A118" s="13" t="s">
        <v>112</v>
      </c>
      <c r="B118" s="11" t="n">
        <v>1</v>
      </c>
      <c r="C118" s="13" t="s">
        <v>420</v>
      </c>
      <c r="D118" s="12" t="s">
        <v>165</v>
      </c>
      <c r="E118" s="11" t="s">
        <v>166</v>
      </c>
      <c r="F118" s="11"/>
      <c r="G118" s="11"/>
      <c r="H118" s="11"/>
      <c r="I118" s="11"/>
      <c r="J118" s="11" t="str">
        <f aca="false">IF(OR(E118="X",H118="X"),"Não","Sim")</f>
        <v>Não</v>
      </c>
      <c r="K118" s="12"/>
      <c r="L118" s="12" t="s">
        <v>421</v>
      </c>
    </row>
    <row r="119" customFormat="false" ht="34.5" hidden="false" customHeight="true" outlineLevel="0" collapsed="false">
      <c r="A119" s="13" t="s">
        <v>112</v>
      </c>
      <c r="B119" s="11" t="n">
        <v>2</v>
      </c>
      <c r="C119" s="13" t="s">
        <v>408</v>
      </c>
      <c r="D119" s="12" t="s">
        <v>165</v>
      </c>
      <c r="E119" s="11"/>
      <c r="F119" s="11" t="s">
        <v>166</v>
      </c>
      <c r="G119" s="11"/>
      <c r="H119" s="11" t="s">
        <v>166</v>
      </c>
      <c r="I119" s="11"/>
      <c r="J119" s="11" t="str">
        <f aca="false">IF(OR(E119="X",H119="X"),"Não","Sim")</f>
        <v>Não</v>
      </c>
      <c r="K119" s="12" t="s">
        <v>422</v>
      </c>
      <c r="L119" s="12" t="s">
        <v>423</v>
      </c>
    </row>
    <row r="120" customFormat="false" ht="23.25" hidden="false" customHeight="true" outlineLevel="0" collapsed="false">
      <c r="A120" s="13" t="s">
        <v>112</v>
      </c>
      <c r="B120" s="11" t="n">
        <v>3</v>
      </c>
      <c r="C120" s="13" t="s">
        <v>424</v>
      </c>
      <c r="D120" s="12" t="s">
        <v>425</v>
      </c>
      <c r="E120" s="11"/>
      <c r="F120" s="11"/>
      <c r="G120" s="11"/>
      <c r="H120" s="11" t="s">
        <v>166</v>
      </c>
      <c r="I120" s="11" t="s">
        <v>166</v>
      </c>
      <c r="J120" s="11" t="str">
        <f aca="false">IF(OR(E120="X",H120="X"),"Não","Sim")</f>
        <v>Não</v>
      </c>
      <c r="K120" s="12"/>
      <c r="L120" s="12" t="s">
        <v>426</v>
      </c>
    </row>
    <row r="121" customFormat="false" ht="23.25" hidden="false" customHeight="true" outlineLevel="0" collapsed="false">
      <c r="A121" s="13" t="s">
        <v>112</v>
      </c>
      <c r="B121" s="11" t="n">
        <v>4</v>
      </c>
      <c r="C121" s="13" t="s">
        <v>399</v>
      </c>
      <c r="D121" s="12" t="s">
        <v>175</v>
      </c>
      <c r="E121" s="11"/>
      <c r="F121" s="11"/>
      <c r="G121" s="11"/>
      <c r="H121" s="11" t="s">
        <v>166</v>
      </c>
      <c r="I121" s="11"/>
      <c r="J121" s="11" t="str">
        <f aca="false">IF(OR(E121="X",H121="X"),"Não","Sim")</f>
        <v>Não</v>
      </c>
      <c r="K121" s="12"/>
      <c r="L121" s="12" t="s">
        <v>400</v>
      </c>
    </row>
    <row r="122" customFormat="false" ht="23.25" hidden="false" customHeight="true" outlineLevel="0" collapsed="false">
      <c r="A122" s="13" t="s">
        <v>112</v>
      </c>
      <c r="B122" s="11" t="n">
        <v>5</v>
      </c>
      <c r="C122" s="13" t="s">
        <v>401</v>
      </c>
      <c r="D122" s="12" t="s">
        <v>402</v>
      </c>
      <c r="E122" s="11"/>
      <c r="F122" s="11"/>
      <c r="G122" s="11"/>
      <c r="H122" s="11" t="s">
        <v>166</v>
      </c>
      <c r="I122" s="11"/>
      <c r="J122" s="11" t="str">
        <f aca="false">IF(OR(E122="X",H122="X"),"Não","Sim")</f>
        <v>Não</v>
      </c>
      <c r="K122" s="12"/>
      <c r="L122" s="12" t="s">
        <v>403</v>
      </c>
    </row>
    <row r="123" customFormat="false" ht="15" hidden="false" customHeight="true" outlineLevel="0" collapsed="false">
      <c r="A123" s="13" t="s">
        <v>112</v>
      </c>
      <c r="B123" s="11" t="n">
        <v>6</v>
      </c>
      <c r="C123" s="13" t="s">
        <v>427</v>
      </c>
      <c r="D123" s="12" t="s">
        <v>318</v>
      </c>
      <c r="E123" s="11"/>
      <c r="F123" s="11"/>
      <c r="G123" s="11"/>
      <c r="H123" s="11" t="s">
        <v>166</v>
      </c>
      <c r="I123" s="11"/>
      <c r="J123" s="11" t="str">
        <f aca="false">IF(OR(E123="X",H123="X"),"Não","Sim")</f>
        <v>Não</v>
      </c>
      <c r="K123" s="12"/>
      <c r="L123" s="12" t="s">
        <v>428</v>
      </c>
    </row>
    <row r="124" customFormat="false" ht="15" hidden="false" customHeight="true" outlineLevel="0" collapsed="false">
      <c r="A124" s="13" t="s">
        <v>116</v>
      </c>
      <c r="B124" s="11" t="n">
        <v>1</v>
      </c>
      <c r="C124" s="13" t="s">
        <v>429</v>
      </c>
      <c r="D124" s="12" t="s">
        <v>165</v>
      </c>
      <c r="E124" s="11" t="s">
        <v>166</v>
      </c>
      <c r="F124" s="11"/>
      <c r="G124" s="11"/>
      <c r="H124" s="11"/>
      <c r="I124" s="11"/>
      <c r="J124" s="11" t="str">
        <f aca="false">IF(OR(E124="X",H124="X"),"Não","Sim")</f>
        <v>Não</v>
      </c>
      <c r="K124" s="12"/>
      <c r="L124" s="12" t="s">
        <v>430</v>
      </c>
    </row>
    <row r="125" customFormat="false" ht="15" hidden="false" customHeight="true" outlineLevel="0" collapsed="false">
      <c r="A125" s="13" t="s">
        <v>116</v>
      </c>
      <c r="B125" s="11" t="n">
        <v>2</v>
      </c>
      <c r="C125" s="13" t="s">
        <v>195</v>
      </c>
      <c r="D125" s="12" t="s">
        <v>165</v>
      </c>
      <c r="E125" s="11"/>
      <c r="F125" s="11" t="s">
        <v>166</v>
      </c>
      <c r="G125" s="11"/>
      <c r="H125" s="11" t="s">
        <v>166</v>
      </c>
      <c r="I125" s="11"/>
      <c r="J125" s="11" t="str">
        <f aca="false">IF(OR(E125="X",H125="X"),"Não","Sim")</f>
        <v>Não</v>
      </c>
      <c r="K125" s="12" t="s">
        <v>228</v>
      </c>
      <c r="L125" s="12" t="s">
        <v>431</v>
      </c>
    </row>
    <row r="126" customFormat="false" ht="15" hidden="false" customHeight="true" outlineLevel="0" collapsed="false">
      <c r="A126" s="13" t="s">
        <v>116</v>
      </c>
      <c r="B126" s="11" t="n">
        <v>3</v>
      </c>
      <c r="C126" s="13" t="s">
        <v>432</v>
      </c>
      <c r="D126" s="12" t="s">
        <v>165</v>
      </c>
      <c r="E126" s="11"/>
      <c r="F126" s="11" t="s">
        <v>166</v>
      </c>
      <c r="G126" s="11"/>
      <c r="H126" s="11" t="s">
        <v>166</v>
      </c>
      <c r="I126" s="11"/>
      <c r="J126" s="11" t="str">
        <f aca="false">IF(OR(E126="X",H126="X"),"Não","Sim")</f>
        <v>Não</v>
      </c>
      <c r="K126" s="12" t="s">
        <v>218</v>
      </c>
      <c r="L126" s="12" t="s">
        <v>433</v>
      </c>
    </row>
    <row r="127" customFormat="false" ht="15" hidden="false" customHeight="true" outlineLevel="0" collapsed="false">
      <c r="A127" s="13" t="s">
        <v>116</v>
      </c>
      <c r="B127" s="11" t="n">
        <v>4</v>
      </c>
      <c r="C127" s="13" t="s">
        <v>434</v>
      </c>
      <c r="D127" s="12" t="s">
        <v>286</v>
      </c>
      <c r="E127" s="11"/>
      <c r="F127" s="11"/>
      <c r="G127" s="11"/>
      <c r="H127" s="11" t="s">
        <v>166</v>
      </c>
      <c r="I127" s="11" t="s">
        <v>166</v>
      </c>
      <c r="J127" s="11" t="str">
        <f aca="false">IF(OR(E127="X",H127="X"),"Não","Sim")</f>
        <v>Não</v>
      </c>
      <c r="K127" s="12"/>
      <c r="L127" s="12" t="s">
        <v>435</v>
      </c>
    </row>
    <row r="128" customFormat="false" ht="15" hidden="false" customHeight="true" outlineLevel="0" collapsed="false">
      <c r="A128" s="13" t="s">
        <v>116</v>
      </c>
      <c r="B128" s="11" t="n">
        <v>5</v>
      </c>
      <c r="C128" s="13" t="s">
        <v>180</v>
      </c>
      <c r="D128" s="12" t="s">
        <v>436</v>
      </c>
      <c r="E128" s="11"/>
      <c r="F128" s="11"/>
      <c r="G128" s="11"/>
      <c r="H128" s="11" t="s">
        <v>166</v>
      </c>
      <c r="I128" s="11" t="s">
        <v>166</v>
      </c>
      <c r="J128" s="11" t="str">
        <f aca="false">IF(OR(E128="X",H128="X"),"Não","Sim")</f>
        <v>Não</v>
      </c>
      <c r="K128" s="12"/>
      <c r="L128" s="12" t="s">
        <v>437</v>
      </c>
    </row>
    <row r="129" customFormat="false" ht="15" hidden="false" customHeight="true" outlineLevel="0" collapsed="false">
      <c r="A129" s="13" t="s">
        <v>116</v>
      </c>
      <c r="B129" s="11" t="n">
        <v>6</v>
      </c>
      <c r="C129" s="13" t="s">
        <v>438</v>
      </c>
      <c r="D129" s="12" t="s">
        <v>318</v>
      </c>
      <c r="E129" s="11"/>
      <c r="F129" s="11"/>
      <c r="G129" s="11"/>
      <c r="H129" s="11" t="s">
        <v>166</v>
      </c>
      <c r="I129" s="11"/>
      <c r="J129" s="11" t="str">
        <f aca="false">IF(OR(E129="X",H129="X"),"Não","Sim")</f>
        <v>Não</v>
      </c>
      <c r="K129" s="12"/>
      <c r="L129" s="12" t="s">
        <v>439</v>
      </c>
    </row>
    <row r="130" customFormat="false" ht="15" hidden="false" customHeight="true" outlineLevel="0" collapsed="false">
      <c r="A130" s="13" t="s">
        <v>116</v>
      </c>
      <c r="B130" s="11" t="n">
        <v>7</v>
      </c>
      <c r="C130" s="13" t="s">
        <v>440</v>
      </c>
      <c r="D130" s="12" t="s">
        <v>318</v>
      </c>
      <c r="E130" s="11"/>
      <c r="F130" s="11"/>
      <c r="G130" s="11"/>
      <c r="H130" s="11"/>
      <c r="I130" s="11" t="s">
        <v>166</v>
      </c>
      <c r="J130" s="11" t="str">
        <f aca="false">IF(OR(E130="X",H130="X"),"Não","Sim")</f>
        <v>Sim</v>
      </c>
      <c r="K130" s="12"/>
      <c r="L130" s="12" t="s">
        <v>441</v>
      </c>
    </row>
    <row r="131" customFormat="false" ht="23.25" hidden="false" customHeight="true" outlineLevel="0" collapsed="false">
      <c r="A131" s="13" t="s">
        <v>116</v>
      </c>
      <c r="B131" s="11" t="n">
        <v>8</v>
      </c>
      <c r="C131" s="13" t="s">
        <v>442</v>
      </c>
      <c r="D131" s="12" t="s">
        <v>286</v>
      </c>
      <c r="E131" s="11"/>
      <c r="F131" s="11"/>
      <c r="G131" s="11"/>
      <c r="H131" s="11"/>
      <c r="I131" s="11" t="s">
        <v>166</v>
      </c>
      <c r="J131" s="11" t="str">
        <f aca="false">IF(OR(E131="X",H131="X"),"Não","Sim")</f>
        <v>Sim</v>
      </c>
      <c r="K131" s="12"/>
      <c r="L131" s="12" t="s">
        <v>443</v>
      </c>
    </row>
    <row r="132" customFormat="false" ht="15" hidden="false" customHeight="true" outlineLevel="0" collapsed="false">
      <c r="A132" s="13" t="s">
        <v>116</v>
      </c>
      <c r="B132" s="11" t="n">
        <v>9</v>
      </c>
      <c r="C132" s="13" t="s">
        <v>444</v>
      </c>
      <c r="D132" s="12" t="s">
        <v>318</v>
      </c>
      <c r="E132" s="11"/>
      <c r="F132" s="11"/>
      <c r="G132" s="11"/>
      <c r="H132" s="11"/>
      <c r="I132" s="11" t="s">
        <v>166</v>
      </c>
      <c r="J132" s="11" t="str">
        <f aca="false">IF(OR(E132="X",H132="X"),"Não","Sim")</f>
        <v>Sim</v>
      </c>
      <c r="K132" s="12"/>
      <c r="L132" s="12" t="s">
        <v>445</v>
      </c>
    </row>
    <row r="133" customFormat="false" ht="15" hidden="false" customHeight="true" outlineLevel="0" collapsed="false">
      <c r="A133" s="13" t="s">
        <v>122</v>
      </c>
      <c r="B133" s="11" t="n">
        <v>1</v>
      </c>
      <c r="C133" s="13" t="s">
        <v>446</v>
      </c>
      <c r="D133" s="12" t="s">
        <v>165</v>
      </c>
      <c r="E133" s="11" t="s">
        <v>166</v>
      </c>
      <c r="F133" s="11"/>
      <c r="G133" s="11"/>
      <c r="H133" s="11"/>
      <c r="I133" s="11"/>
      <c r="J133" s="11" t="str">
        <f aca="false">IF(OR(E133="X",H133="X"),"Não","Sim")</f>
        <v>Não</v>
      </c>
      <c r="K133" s="12"/>
      <c r="L133" s="12" t="s">
        <v>447</v>
      </c>
    </row>
    <row r="134" customFormat="false" ht="15" hidden="false" customHeight="true" outlineLevel="0" collapsed="false">
      <c r="A134" s="13" t="s">
        <v>122</v>
      </c>
      <c r="B134" s="11" t="n">
        <v>2</v>
      </c>
      <c r="C134" s="13" t="s">
        <v>295</v>
      </c>
      <c r="D134" s="12" t="s">
        <v>165</v>
      </c>
      <c r="E134" s="11"/>
      <c r="F134" s="11" t="s">
        <v>166</v>
      </c>
      <c r="G134" s="11"/>
      <c r="H134" s="11" t="s">
        <v>166</v>
      </c>
      <c r="I134" s="11"/>
      <c r="J134" s="11" t="str">
        <f aca="false">IF(OR(E134="X",H134="X"),"Não","Sim")</f>
        <v>Não</v>
      </c>
      <c r="K134" s="12" t="s">
        <v>309</v>
      </c>
      <c r="L134" s="12" t="s">
        <v>448</v>
      </c>
    </row>
    <row r="135" customFormat="false" ht="15" hidden="false" customHeight="true" outlineLevel="0" collapsed="false">
      <c r="A135" s="13" t="s">
        <v>122</v>
      </c>
      <c r="B135" s="11" t="n">
        <v>3</v>
      </c>
      <c r="C135" s="13" t="s">
        <v>164</v>
      </c>
      <c r="D135" s="12" t="s">
        <v>165</v>
      </c>
      <c r="E135" s="11"/>
      <c r="F135" s="11" t="s">
        <v>166</v>
      </c>
      <c r="G135" s="11"/>
      <c r="H135" s="11"/>
      <c r="I135" s="11"/>
      <c r="J135" s="11" t="str">
        <f aca="false">IF(OR(E135="X",H135="X"),"Não","Sim")</f>
        <v>Sim</v>
      </c>
      <c r="K135" s="12" t="s">
        <v>218</v>
      </c>
      <c r="L135" s="12" t="s">
        <v>449</v>
      </c>
    </row>
    <row r="136" customFormat="false" ht="15" hidden="false" customHeight="true" outlineLevel="0" collapsed="false">
      <c r="A136" s="13" t="s">
        <v>122</v>
      </c>
      <c r="B136" s="11" t="n">
        <v>4</v>
      </c>
      <c r="C136" s="13" t="s">
        <v>450</v>
      </c>
      <c r="D136" s="12" t="s">
        <v>178</v>
      </c>
      <c r="E136" s="11"/>
      <c r="F136" s="11"/>
      <c r="G136" s="11"/>
      <c r="H136" s="11" t="s">
        <v>166</v>
      </c>
      <c r="I136" s="11" t="s">
        <v>166</v>
      </c>
      <c r="J136" s="11" t="str">
        <f aca="false">IF(OR(E136="X",H136="X"),"Não","Sim")</f>
        <v>Não</v>
      </c>
      <c r="K136" s="12"/>
      <c r="L136" s="12" t="s">
        <v>451</v>
      </c>
    </row>
    <row r="137" customFormat="false" ht="15" hidden="false" customHeight="true" outlineLevel="0" collapsed="false">
      <c r="A137" s="13" t="s">
        <v>122</v>
      </c>
      <c r="B137" s="11" t="n">
        <v>5</v>
      </c>
      <c r="C137" s="13" t="s">
        <v>452</v>
      </c>
      <c r="D137" s="12" t="s">
        <v>178</v>
      </c>
      <c r="E137" s="11"/>
      <c r="F137" s="11"/>
      <c r="G137" s="11"/>
      <c r="H137" s="11"/>
      <c r="I137" s="11"/>
      <c r="J137" s="11" t="str">
        <f aca="false">IF(OR(E137="X",H137="X"),"Não","Sim")</f>
        <v>Sim</v>
      </c>
      <c r="K137" s="12"/>
      <c r="L137" s="12" t="s">
        <v>453</v>
      </c>
    </row>
    <row r="138" customFormat="false" ht="15" hidden="false" customHeight="true" outlineLevel="0" collapsed="false">
      <c r="A138" s="13" t="s">
        <v>122</v>
      </c>
      <c r="B138" s="11" t="n">
        <v>6</v>
      </c>
      <c r="C138" s="13" t="s">
        <v>454</v>
      </c>
      <c r="D138" s="12" t="s">
        <v>178</v>
      </c>
      <c r="E138" s="11"/>
      <c r="F138" s="11"/>
      <c r="G138" s="11"/>
      <c r="H138" s="11" t="s">
        <v>166</v>
      </c>
      <c r="I138" s="11"/>
      <c r="J138" s="11" t="str">
        <f aca="false">IF(OR(E138="X",H138="X"),"Não","Sim")</f>
        <v>Não</v>
      </c>
      <c r="K138" s="12"/>
      <c r="L138" s="12" t="s">
        <v>455</v>
      </c>
    </row>
    <row r="139" customFormat="false" ht="15" hidden="false" customHeight="true" outlineLevel="0" collapsed="false">
      <c r="A139" s="13" t="s">
        <v>122</v>
      </c>
      <c r="B139" s="11" t="n">
        <v>7</v>
      </c>
      <c r="C139" s="13" t="s">
        <v>456</v>
      </c>
      <c r="D139" s="12" t="s">
        <v>358</v>
      </c>
      <c r="E139" s="11"/>
      <c r="F139" s="11"/>
      <c r="G139" s="11"/>
      <c r="H139" s="11"/>
      <c r="I139" s="11"/>
      <c r="J139" s="11" t="str">
        <f aca="false">IF(OR(E139="X",H139="X"),"Não","Sim")</f>
        <v>Sim</v>
      </c>
      <c r="K139" s="12"/>
      <c r="L139" s="12" t="s">
        <v>457</v>
      </c>
    </row>
    <row r="140" customFormat="false" ht="15" hidden="false" customHeight="true" outlineLevel="0" collapsed="false">
      <c r="A140" s="13" t="s">
        <v>122</v>
      </c>
      <c r="B140" s="11" t="n">
        <v>8</v>
      </c>
      <c r="C140" s="13" t="s">
        <v>458</v>
      </c>
      <c r="D140" s="12" t="s">
        <v>187</v>
      </c>
      <c r="E140" s="11"/>
      <c r="F140" s="11"/>
      <c r="G140" s="11"/>
      <c r="H140" s="11" t="s">
        <v>166</v>
      </c>
      <c r="I140" s="11"/>
      <c r="J140" s="11" t="str">
        <f aca="false">IF(OR(E140="X",H140="X"),"Não","Sim")</f>
        <v>Não</v>
      </c>
      <c r="K140" s="12"/>
      <c r="L140" s="12" t="s">
        <v>459</v>
      </c>
    </row>
    <row r="141" customFormat="false" ht="15" hidden="false" customHeight="true" outlineLevel="0" collapsed="false">
      <c r="A141" s="13" t="s">
        <v>126</v>
      </c>
      <c r="B141" s="11" t="n">
        <v>1</v>
      </c>
      <c r="C141" s="13" t="s">
        <v>460</v>
      </c>
      <c r="D141" s="12" t="s">
        <v>165</v>
      </c>
      <c r="E141" s="11" t="s">
        <v>166</v>
      </c>
      <c r="F141" s="11"/>
      <c r="G141" s="11"/>
      <c r="H141" s="11"/>
      <c r="I141" s="11"/>
      <c r="J141" s="11" t="str">
        <f aca="false">IF(OR(E141="X",H141="X"),"Não","Sim")</f>
        <v>Não</v>
      </c>
      <c r="K141" s="12"/>
      <c r="L141" s="12" t="s">
        <v>461</v>
      </c>
    </row>
    <row r="142" customFormat="false" ht="15" hidden="false" customHeight="true" outlineLevel="0" collapsed="false">
      <c r="A142" s="13" t="s">
        <v>126</v>
      </c>
      <c r="B142" s="11" t="n">
        <v>2</v>
      </c>
      <c r="C142" s="13" t="s">
        <v>268</v>
      </c>
      <c r="D142" s="12" t="s">
        <v>165</v>
      </c>
      <c r="E142" s="11"/>
      <c r="F142" s="11" t="s">
        <v>166</v>
      </c>
      <c r="G142" s="11"/>
      <c r="H142" s="11" t="s">
        <v>166</v>
      </c>
      <c r="I142" s="11"/>
      <c r="J142" s="11" t="str">
        <f aca="false">IF(OR(E142="X",H142="X"),"Não","Sim")</f>
        <v>Não</v>
      </c>
      <c r="K142" s="12" t="s">
        <v>281</v>
      </c>
      <c r="L142" s="12" t="s">
        <v>462</v>
      </c>
    </row>
    <row r="143" customFormat="false" ht="15" hidden="false" customHeight="true" outlineLevel="0" collapsed="false">
      <c r="A143" s="13" t="s">
        <v>126</v>
      </c>
      <c r="B143" s="11" t="n">
        <v>3</v>
      </c>
      <c r="C143" s="13" t="s">
        <v>463</v>
      </c>
      <c r="D143" s="12" t="s">
        <v>165</v>
      </c>
      <c r="E143" s="11"/>
      <c r="F143" s="11" t="s">
        <v>166</v>
      </c>
      <c r="G143" s="11"/>
      <c r="H143" s="11" t="s">
        <v>166</v>
      </c>
      <c r="I143" s="11"/>
      <c r="J143" s="11" t="str">
        <f aca="false">IF(OR(E143="X",H143="X"),"Não","Sim")</f>
        <v>Não</v>
      </c>
      <c r="K143" s="12" t="s">
        <v>464</v>
      </c>
      <c r="L143" s="12" t="s">
        <v>465</v>
      </c>
    </row>
    <row r="144" customFormat="false" ht="15" hidden="false" customHeight="true" outlineLevel="0" collapsed="false">
      <c r="A144" s="13" t="s">
        <v>126</v>
      </c>
      <c r="B144" s="11" t="n">
        <v>4</v>
      </c>
      <c r="C144" s="13" t="s">
        <v>164</v>
      </c>
      <c r="D144" s="12" t="s">
        <v>165</v>
      </c>
      <c r="E144" s="11"/>
      <c r="F144" s="11" t="s">
        <v>166</v>
      </c>
      <c r="G144" s="11"/>
      <c r="H144" s="11" t="s">
        <v>166</v>
      </c>
      <c r="I144" s="11"/>
      <c r="J144" s="11" t="str">
        <f aca="false">IF(OR(E144="X",H144="X"),"Não","Sim")</f>
        <v>Não</v>
      </c>
      <c r="K144" s="12" t="s">
        <v>218</v>
      </c>
      <c r="L144" s="12" t="s">
        <v>466</v>
      </c>
    </row>
    <row r="145" customFormat="false" ht="15" hidden="false" customHeight="true" outlineLevel="0" collapsed="false">
      <c r="A145" s="13" t="s">
        <v>126</v>
      </c>
      <c r="B145" s="11" t="n">
        <v>5</v>
      </c>
      <c r="C145" s="13" t="s">
        <v>467</v>
      </c>
      <c r="D145" s="12" t="s">
        <v>254</v>
      </c>
      <c r="E145" s="11"/>
      <c r="F145" s="11"/>
      <c r="G145" s="11"/>
      <c r="H145" s="11"/>
      <c r="I145" s="11"/>
      <c r="J145" s="11" t="str">
        <f aca="false">IF(OR(E145="X",H145="X"),"Não","Sim")</f>
        <v>Sim</v>
      </c>
      <c r="K145" s="12"/>
      <c r="L145" s="12" t="s">
        <v>468</v>
      </c>
    </row>
    <row r="146" customFormat="false" ht="15" hidden="false" customHeight="true" outlineLevel="0" collapsed="false">
      <c r="A146" s="13" t="s">
        <v>126</v>
      </c>
      <c r="B146" s="11" t="n">
        <v>6</v>
      </c>
      <c r="C146" s="13" t="s">
        <v>469</v>
      </c>
      <c r="D146" s="12" t="s">
        <v>165</v>
      </c>
      <c r="E146" s="11"/>
      <c r="F146" s="11"/>
      <c r="G146" s="11"/>
      <c r="H146" s="11" t="s">
        <v>166</v>
      </c>
      <c r="I146" s="11" t="s">
        <v>166</v>
      </c>
      <c r="J146" s="11" t="str">
        <f aca="false">IF(OR(E146="X",H146="X"),"Não","Sim")</f>
        <v>Não</v>
      </c>
      <c r="K146" s="12"/>
      <c r="L146" s="12" t="s">
        <v>470</v>
      </c>
    </row>
    <row r="147" customFormat="false" ht="15" hidden="false" customHeight="true" outlineLevel="0" collapsed="false">
      <c r="A147" s="13" t="s">
        <v>126</v>
      </c>
      <c r="B147" s="11" t="n">
        <v>7</v>
      </c>
      <c r="C147" s="13" t="s">
        <v>471</v>
      </c>
      <c r="D147" s="12" t="s">
        <v>165</v>
      </c>
      <c r="E147" s="11"/>
      <c r="F147" s="11"/>
      <c r="G147" s="11"/>
      <c r="H147" s="11" t="s">
        <v>166</v>
      </c>
      <c r="I147" s="11" t="s">
        <v>166</v>
      </c>
      <c r="J147" s="11" t="str">
        <f aca="false">IF(OR(E147="X",H147="X"),"Não","Sim")</f>
        <v>Não</v>
      </c>
      <c r="K147" s="12"/>
      <c r="L147" s="12" t="s">
        <v>472</v>
      </c>
    </row>
    <row r="148" customFormat="false" ht="15" hidden="false" customHeight="true" outlineLevel="0" collapsed="false">
      <c r="A148" s="13" t="s">
        <v>126</v>
      </c>
      <c r="B148" s="11" t="n">
        <v>8</v>
      </c>
      <c r="C148" s="13" t="s">
        <v>473</v>
      </c>
      <c r="D148" s="12" t="s">
        <v>187</v>
      </c>
      <c r="E148" s="11"/>
      <c r="F148" s="11"/>
      <c r="G148" s="11"/>
      <c r="H148" s="11" t="s">
        <v>166</v>
      </c>
      <c r="I148" s="11"/>
      <c r="J148" s="11" t="str">
        <f aca="false">IF(OR(E148="X",H148="X"),"Não","Sim")</f>
        <v>Não</v>
      </c>
      <c r="K148" s="12"/>
      <c r="L148" s="12" t="s">
        <v>474</v>
      </c>
    </row>
    <row r="149" customFormat="false" ht="15" hidden="false" customHeight="true" outlineLevel="0" collapsed="false">
      <c r="A149" s="13" t="s">
        <v>126</v>
      </c>
      <c r="B149" s="11" t="n">
        <v>9</v>
      </c>
      <c r="C149" s="13" t="s">
        <v>475</v>
      </c>
      <c r="D149" s="12" t="s">
        <v>165</v>
      </c>
      <c r="E149" s="11"/>
      <c r="F149" s="11" t="s">
        <v>166</v>
      </c>
      <c r="G149" s="11"/>
      <c r="H149" s="11"/>
      <c r="I149" s="11"/>
      <c r="J149" s="11" t="str">
        <f aca="false">IF(OR(E149="X",H149="X"),"Não","Sim")</f>
        <v>Sim</v>
      </c>
      <c r="K149" s="12" t="s">
        <v>218</v>
      </c>
      <c r="L149" s="12" t="s">
        <v>476</v>
      </c>
    </row>
    <row r="150" customFormat="false" ht="15" hidden="false" customHeight="true" outlineLevel="0" collapsed="false">
      <c r="A150" s="13" t="s">
        <v>126</v>
      </c>
      <c r="B150" s="11" t="n">
        <v>10</v>
      </c>
      <c r="C150" s="13" t="s">
        <v>477</v>
      </c>
      <c r="D150" s="12" t="s">
        <v>187</v>
      </c>
      <c r="E150" s="11"/>
      <c r="F150" s="11"/>
      <c r="G150" s="11"/>
      <c r="H150" s="11"/>
      <c r="I150" s="11" t="s">
        <v>166</v>
      </c>
      <c r="J150" s="11" t="str">
        <f aca="false">IF(OR(E150="X",H150="X"),"Não","Sim")</f>
        <v>Sim</v>
      </c>
      <c r="K150" s="12"/>
      <c r="L150" s="12" t="s">
        <v>478</v>
      </c>
    </row>
    <row r="151" customFormat="false" ht="15" hidden="false" customHeight="true" outlineLevel="0" collapsed="false">
      <c r="A151" s="13" t="s">
        <v>132</v>
      </c>
      <c r="B151" s="11" t="n">
        <v>1</v>
      </c>
      <c r="C151" s="13" t="s">
        <v>463</v>
      </c>
      <c r="D151" s="12" t="s">
        <v>165</v>
      </c>
      <c r="E151" s="11" t="s">
        <v>166</v>
      </c>
      <c r="F151" s="11"/>
      <c r="G151" s="11"/>
      <c r="H151" s="11"/>
      <c r="I151" s="11"/>
      <c r="J151" s="11" t="str">
        <f aca="false">IF(OR(E151="X",H151="X"),"Não","Sim")</f>
        <v>Não</v>
      </c>
      <c r="K151" s="12"/>
      <c r="L151" s="12" t="s">
        <v>479</v>
      </c>
    </row>
    <row r="152" customFormat="false" ht="15" hidden="false" customHeight="true" outlineLevel="0" collapsed="false">
      <c r="A152" s="13" t="s">
        <v>132</v>
      </c>
      <c r="B152" s="11" t="n">
        <v>2</v>
      </c>
      <c r="C152" s="13" t="s">
        <v>197</v>
      </c>
      <c r="D152" s="12" t="s">
        <v>198</v>
      </c>
      <c r="E152" s="11"/>
      <c r="F152" s="11"/>
      <c r="G152" s="11" t="s">
        <v>166</v>
      </c>
      <c r="H152" s="11" t="s">
        <v>166</v>
      </c>
      <c r="I152" s="11"/>
      <c r="J152" s="11" t="str">
        <f aca="false">IF(OR(E152="X",H152="X"),"Não","Sim")</f>
        <v>Não</v>
      </c>
      <c r="K152" s="12"/>
      <c r="L152" s="12" t="s">
        <v>199</v>
      </c>
    </row>
    <row r="153" customFormat="false" ht="15" hidden="false" customHeight="true" outlineLevel="0" collapsed="false">
      <c r="A153" s="13" t="s">
        <v>132</v>
      </c>
      <c r="B153" s="11" t="n">
        <v>3</v>
      </c>
      <c r="C153" s="13" t="s">
        <v>200</v>
      </c>
      <c r="D153" s="12" t="s">
        <v>201</v>
      </c>
      <c r="E153" s="11"/>
      <c r="F153" s="11"/>
      <c r="G153" s="11"/>
      <c r="H153" s="11" t="s">
        <v>166</v>
      </c>
      <c r="I153" s="11"/>
      <c r="J153" s="11" t="str">
        <f aca="false">IF(OR(E153="X",H153="X"),"Não","Sim")</f>
        <v>Não</v>
      </c>
      <c r="K153" s="12"/>
      <c r="L153" s="12" t="s">
        <v>202</v>
      </c>
    </row>
    <row r="154" customFormat="false" ht="15" hidden="false" customHeight="true" outlineLevel="0" collapsed="false">
      <c r="A154" s="13" t="s">
        <v>132</v>
      </c>
      <c r="B154" s="11" t="n">
        <v>4</v>
      </c>
      <c r="C154" s="13" t="s">
        <v>205</v>
      </c>
      <c r="D154" s="12" t="s">
        <v>206</v>
      </c>
      <c r="E154" s="11"/>
      <c r="F154" s="11"/>
      <c r="G154" s="11"/>
      <c r="H154" s="11"/>
      <c r="I154" s="11"/>
      <c r="J154" s="11" t="str">
        <f aca="false">IF(OR(E154="X",H154="X"),"Não","Sim")</f>
        <v>Sim</v>
      </c>
      <c r="K154" s="12"/>
      <c r="L154" s="12" t="s">
        <v>480</v>
      </c>
    </row>
    <row r="155" customFormat="false" ht="15" hidden="false" customHeight="true" outlineLevel="0" collapsed="false">
      <c r="A155" s="13" t="s">
        <v>132</v>
      </c>
      <c r="B155" s="11" t="n">
        <v>5</v>
      </c>
      <c r="C155" s="13" t="s">
        <v>208</v>
      </c>
      <c r="D155" s="12" t="s">
        <v>178</v>
      </c>
      <c r="E155" s="11"/>
      <c r="F155" s="11"/>
      <c r="G155" s="11"/>
      <c r="H155" s="11"/>
      <c r="I155" s="11"/>
      <c r="J155" s="11" t="str">
        <f aca="false">IF(OR(E155="X",H155="X"),"Não","Sim")</f>
        <v>Sim</v>
      </c>
      <c r="K155" s="12"/>
      <c r="L155" s="12" t="s">
        <v>209</v>
      </c>
    </row>
    <row r="156" customFormat="false" ht="15" hidden="false" customHeight="true" outlineLevel="0" collapsed="false">
      <c r="A156" s="13" t="s">
        <v>132</v>
      </c>
      <c r="B156" s="11" t="n">
        <v>6</v>
      </c>
      <c r="C156" s="13" t="s">
        <v>210</v>
      </c>
      <c r="D156" s="12" t="s">
        <v>172</v>
      </c>
      <c r="E156" s="11"/>
      <c r="F156" s="11"/>
      <c r="G156" s="11"/>
      <c r="H156" s="11"/>
      <c r="I156" s="11"/>
      <c r="J156" s="11" t="str">
        <f aca="false">IF(OR(E156="X",H156="X"),"Não","Sim")</f>
        <v>Sim</v>
      </c>
      <c r="K156" s="12"/>
      <c r="L156" s="12" t="s">
        <v>211</v>
      </c>
    </row>
    <row r="157" customFormat="false" ht="15" hidden="false" customHeight="true" outlineLevel="0" collapsed="false">
      <c r="A157" s="13" t="s">
        <v>132</v>
      </c>
      <c r="B157" s="11" t="n">
        <v>7</v>
      </c>
      <c r="C157" s="13" t="s">
        <v>193</v>
      </c>
      <c r="D157" s="12" t="s">
        <v>187</v>
      </c>
      <c r="E157" s="11"/>
      <c r="F157" s="11"/>
      <c r="G157" s="11"/>
      <c r="H157" s="11" t="s">
        <v>166</v>
      </c>
      <c r="I157" s="11"/>
      <c r="J157" s="11" t="str">
        <f aca="false">IF(OR(E157="X",H157="X"),"Não","Sim")</f>
        <v>Não</v>
      </c>
      <c r="K157" s="12"/>
      <c r="L157" s="12" t="s">
        <v>225</v>
      </c>
    </row>
    <row r="158" customFormat="false" ht="15" hidden="false" customHeight="true" outlineLevel="0" collapsed="false">
      <c r="A158" s="13" t="s">
        <v>136</v>
      </c>
      <c r="B158" s="11" t="n">
        <v>1</v>
      </c>
      <c r="C158" s="13" t="s">
        <v>305</v>
      </c>
      <c r="D158" s="12" t="s">
        <v>165</v>
      </c>
      <c r="E158" s="11" t="s">
        <v>166</v>
      </c>
      <c r="F158" s="11"/>
      <c r="G158" s="11"/>
      <c r="H158" s="11"/>
      <c r="I158" s="11"/>
      <c r="J158" s="11" t="str">
        <f aca="false">IF(OR(E158="X",H158="X"),"Não","Sim")</f>
        <v>Não</v>
      </c>
      <c r="K158" s="12"/>
      <c r="L158" s="12" t="s">
        <v>481</v>
      </c>
    </row>
    <row r="159" customFormat="false" ht="15" hidden="false" customHeight="true" outlineLevel="0" collapsed="false">
      <c r="A159" s="13" t="s">
        <v>136</v>
      </c>
      <c r="B159" s="11" t="n">
        <v>2</v>
      </c>
      <c r="C159" s="13" t="s">
        <v>195</v>
      </c>
      <c r="D159" s="12" t="s">
        <v>165</v>
      </c>
      <c r="E159" s="11"/>
      <c r="F159" s="11" t="s">
        <v>166</v>
      </c>
      <c r="G159" s="11"/>
      <c r="H159" s="11" t="s">
        <v>166</v>
      </c>
      <c r="I159" s="11"/>
      <c r="J159" s="11" t="str">
        <f aca="false">IF(OR(E159="X",H159="X"),"Não","Sim")</f>
        <v>Não</v>
      </c>
      <c r="K159" s="12" t="s">
        <v>228</v>
      </c>
      <c r="L159" s="12" t="s">
        <v>482</v>
      </c>
    </row>
    <row r="160" customFormat="false" ht="15" hidden="false" customHeight="true" outlineLevel="0" collapsed="false">
      <c r="A160" s="13" t="s">
        <v>136</v>
      </c>
      <c r="B160" s="11" t="n">
        <v>3</v>
      </c>
      <c r="C160" s="13" t="s">
        <v>217</v>
      </c>
      <c r="D160" s="12" t="s">
        <v>165</v>
      </c>
      <c r="E160" s="11"/>
      <c r="F160" s="11" t="s">
        <v>166</v>
      </c>
      <c r="G160" s="11"/>
      <c r="H160" s="11" t="s">
        <v>166</v>
      </c>
      <c r="I160" s="11"/>
      <c r="J160" s="11" t="str">
        <f aca="false">IF(OR(E160="X",H160="X"),"Não","Sim")</f>
        <v>Não</v>
      </c>
      <c r="K160" s="12" t="s">
        <v>218</v>
      </c>
      <c r="L160" s="12" t="s">
        <v>483</v>
      </c>
    </row>
    <row r="161" customFormat="false" ht="15" hidden="false" customHeight="true" outlineLevel="0" collapsed="false">
      <c r="A161" s="13" t="s">
        <v>136</v>
      </c>
      <c r="B161" s="11" t="n">
        <v>4</v>
      </c>
      <c r="C161" s="13" t="s">
        <v>302</v>
      </c>
      <c r="D161" s="12" t="s">
        <v>165</v>
      </c>
      <c r="E161" s="11"/>
      <c r="F161" s="11" t="s">
        <v>166</v>
      </c>
      <c r="G161" s="11"/>
      <c r="H161" s="11"/>
      <c r="I161" s="11"/>
      <c r="J161" s="11" t="str">
        <f aca="false">IF(OR(E161="X",H161="X"),"Não","Sim")</f>
        <v>Sim</v>
      </c>
      <c r="K161" s="12" t="s">
        <v>303</v>
      </c>
      <c r="L161" s="12" t="s">
        <v>484</v>
      </c>
    </row>
    <row r="162" customFormat="false" ht="15" hidden="false" customHeight="true" outlineLevel="0" collapsed="false">
      <c r="A162" s="13" t="s">
        <v>136</v>
      </c>
      <c r="B162" s="11" t="n">
        <v>5</v>
      </c>
      <c r="C162" s="13" t="s">
        <v>325</v>
      </c>
      <c r="D162" s="12" t="s">
        <v>254</v>
      </c>
      <c r="E162" s="11"/>
      <c r="F162" s="11"/>
      <c r="G162" s="11"/>
      <c r="H162" s="11"/>
      <c r="I162" s="11"/>
      <c r="J162" s="11" t="str">
        <f aca="false">IF(OR(E162="X",H162="X"),"Não","Sim")</f>
        <v>Sim</v>
      </c>
      <c r="K162" s="12"/>
      <c r="L162" s="12" t="s">
        <v>326</v>
      </c>
    </row>
    <row r="163" customFormat="false" ht="23.25" hidden="false" customHeight="true" outlineLevel="0" collapsed="false">
      <c r="A163" s="13" t="s">
        <v>136</v>
      </c>
      <c r="B163" s="11" t="n">
        <v>6</v>
      </c>
      <c r="C163" s="13" t="s">
        <v>327</v>
      </c>
      <c r="D163" s="12" t="s">
        <v>206</v>
      </c>
      <c r="E163" s="11"/>
      <c r="F163" s="11"/>
      <c r="G163" s="11"/>
      <c r="H163" s="11"/>
      <c r="I163" s="11"/>
      <c r="J163" s="11" t="str">
        <f aca="false">IF(OR(E163="X",H163="X"),"Não","Sim")</f>
        <v>Sim</v>
      </c>
      <c r="K163" s="12"/>
      <c r="L163" s="12" t="s">
        <v>485</v>
      </c>
    </row>
    <row r="164" customFormat="false" ht="15" hidden="false" customHeight="true" outlineLevel="0" collapsed="false">
      <c r="A164" s="13" t="s">
        <v>136</v>
      </c>
      <c r="B164" s="11" t="n">
        <v>7</v>
      </c>
      <c r="C164" s="13" t="s">
        <v>486</v>
      </c>
      <c r="D164" s="12" t="s">
        <v>334</v>
      </c>
      <c r="E164" s="11"/>
      <c r="F164" s="11"/>
      <c r="G164" s="11"/>
      <c r="H164" s="11"/>
      <c r="I164" s="11" t="s">
        <v>166</v>
      </c>
      <c r="J164" s="11" t="str">
        <f aca="false">IF(OR(E164="X",H164="X"),"Não","Sim")</f>
        <v>Sim</v>
      </c>
      <c r="K164" s="12"/>
      <c r="L164" s="12" t="s">
        <v>487</v>
      </c>
    </row>
    <row r="165" customFormat="false" ht="15" hidden="false" customHeight="true" outlineLevel="0" collapsed="false">
      <c r="A165" s="13" t="s">
        <v>136</v>
      </c>
      <c r="B165" s="11" t="n">
        <v>8</v>
      </c>
      <c r="C165" s="13" t="s">
        <v>488</v>
      </c>
      <c r="D165" s="12" t="s">
        <v>184</v>
      </c>
      <c r="E165" s="11"/>
      <c r="F165" s="11"/>
      <c r="G165" s="11"/>
      <c r="H165" s="11"/>
      <c r="I165" s="11" t="s">
        <v>166</v>
      </c>
      <c r="J165" s="11" t="str">
        <f aca="false">IF(OR(E165="X",H165="X"),"Não","Sim")</f>
        <v>Sim</v>
      </c>
      <c r="K165" s="12"/>
      <c r="L165" s="12" t="s">
        <v>489</v>
      </c>
    </row>
    <row r="166" customFormat="false" ht="15" hidden="false" customHeight="true" outlineLevel="0" collapsed="false">
      <c r="A166" s="13" t="s">
        <v>136</v>
      </c>
      <c r="B166" s="11" t="n">
        <v>9</v>
      </c>
      <c r="C166" s="13" t="s">
        <v>490</v>
      </c>
      <c r="D166" s="12" t="s">
        <v>184</v>
      </c>
      <c r="E166" s="11"/>
      <c r="F166" s="11"/>
      <c r="G166" s="11"/>
      <c r="H166" s="11"/>
      <c r="I166" s="11" t="s">
        <v>166</v>
      </c>
      <c r="J166" s="11" t="str">
        <f aca="false">IF(OR(E166="X",H166="X"),"Não","Sim")</f>
        <v>Sim</v>
      </c>
      <c r="K166" s="12"/>
      <c r="L166" s="12" t="s">
        <v>491</v>
      </c>
    </row>
    <row r="167" customFormat="false" ht="15" hidden="false" customHeight="true" outlineLevel="0" collapsed="false">
      <c r="A167" s="13" t="s">
        <v>136</v>
      </c>
      <c r="B167" s="11" t="n">
        <v>10</v>
      </c>
      <c r="C167" s="13" t="s">
        <v>492</v>
      </c>
      <c r="D167" s="12" t="s">
        <v>206</v>
      </c>
      <c r="E167" s="11"/>
      <c r="F167" s="11"/>
      <c r="G167" s="11"/>
      <c r="H167" s="11"/>
      <c r="I167" s="11"/>
      <c r="J167" s="11" t="str">
        <f aca="false">IF(OR(E167="X",H167="X"),"Não","Sim")</f>
        <v>Sim</v>
      </c>
      <c r="K167" s="12"/>
      <c r="L167" s="12" t="s">
        <v>493</v>
      </c>
    </row>
    <row r="168" customFormat="false" ht="23.25" hidden="false" customHeight="true" outlineLevel="0" collapsed="false">
      <c r="A168" s="13" t="s">
        <v>136</v>
      </c>
      <c r="B168" s="11" t="n">
        <v>11</v>
      </c>
      <c r="C168" s="13" t="s">
        <v>494</v>
      </c>
      <c r="D168" s="12" t="s">
        <v>358</v>
      </c>
      <c r="E168" s="11"/>
      <c r="F168" s="11"/>
      <c r="G168" s="11"/>
      <c r="H168" s="11"/>
      <c r="I168" s="11"/>
      <c r="J168" s="11" t="str">
        <f aca="false">IF(OR(E168="X",H168="X"),"Não","Sim")</f>
        <v>Sim</v>
      </c>
      <c r="K168" s="12"/>
      <c r="L168" s="12" t="s">
        <v>495</v>
      </c>
    </row>
    <row r="169" customFormat="false" ht="15" hidden="false" customHeight="true" outlineLevel="0" collapsed="false">
      <c r="A169" s="13" t="s">
        <v>136</v>
      </c>
      <c r="B169" s="11" t="n">
        <v>12</v>
      </c>
      <c r="C169" s="13" t="s">
        <v>180</v>
      </c>
      <c r="D169" s="12" t="s">
        <v>436</v>
      </c>
      <c r="E169" s="11"/>
      <c r="F169" s="11"/>
      <c r="G169" s="11"/>
      <c r="H169" s="11" t="s">
        <v>166</v>
      </c>
      <c r="I169" s="11" t="s">
        <v>166</v>
      </c>
      <c r="J169" s="11" t="str">
        <f aca="false">IF(OR(E169="X",H169="X"),"Não","Sim")</f>
        <v>Não</v>
      </c>
      <c r="K169" s="12"/>
      <c r="L169" s="12" t="s">
        <v>496</v>
      </c>
    </row>
    <row r="170" customFormat="false" ht="15" hidden="false" customHeight="true" outlineLevel="0" collapsed="false">
      <c r="A170" s="13" t="s">
        <v>136</v>
      </c>
      <c r="B170" s="11" t="n">
        <v>13</v>
      </c>
      <c r="C170" s="13" t="s">
        <v>497</v>
      </c>
      <c r="D170" s="12" t="s">
        <v>358</v>
      </c>
      <c r="E170" s="11"/>
      <c r="F170" s="11"/>
      <c r="G170" s="11"/>
      <c r="H170" s="11"/>
      <c r="I170" s="11" t="s">
        <v>166</v>
      </c>
      <c r="J170" s="11" t="str">
        <f aca="false">IF(OR(E170="X",H170="X"),"Não","Sim")</f>
        <v>Sim</v>
      </c>
      <c r="K170" s="12"/>
      <c r="L170" s="12" t="s">
        <v>498</v>
      </c>
    </row>
    <row r="171" customFormat="false" ht="15" hidden="false" customHeight="true" outlineLevel="0" collapsed="false">
      <c r="A171" s="13" t="s">
        <v>136</v>
      </c>
      <c r="B171" s="11" t="n">
        <v>14</v>
      </c>
      <c r="C171" s="13" t="s">
        <v>499</v>
      </c>
      <c r="D171" s="12" t="s">
        <v>165</v>
      </c>
      <c r="E171" s="11"/>
      <c r="F171" s="11" t="s">
        <v>166</v>
      </c>
      <c r="G171" s="11"/>
      <c r="H171" s="11"/>
      <c r="I171" s="11"/>
      <c r="J171" s="11" t="str">
        <f aca="false">IF(OR(E171="X",H171="X"),"Não","Sim")</f>
        <v>Sim</v>
      </c>
      <c r="K171" s="12" t="s">
        <v>218</v>
      </c>
      <c r="L171" s="12" t="s">
        <v>500</v>
      </c>
    </row>
    <row r="172" customFormat="false" ht="15" hidden="false" customHeight="true" outlineLevel="0" collapsed="false">
      <c r="A172" s="13" t="s">
        <v>136</v>
      </c>
      <c r="B172" s="11" t="n">
        <v>15</v>
      </c>
      <c r="C172" s="13" t="s">
        <v>412</v>
      </c>
      <c r="D172" s="12" t="s">
        <v>187</v>
      </c>
      <c r="E172" s="11"/>
      <c r="F172" s="11"/>
      <c r="G172" s="11"/>
      <c r="H172" s="11" t="s">
        <v>166</v>
      </c>
      <c r="I172" s="11"/>
      <c r="J172" s="11" t="str">
        <f aca="false">IF(OR(E172="X",H172="X"),"Não","Sim")</f>
        <v>Não</v>
      </c>
      <c r="K172" s="12"/>
      <c r="L172" s="12" t="s">
        <v>459</v>
      </c>
    </row>
    <row r="173" customFormat="false" ht="15" hidden="false" customHeight="true" outlineLevel="0" collapsed="false">
      <c r="A173" s="13" t="s">
        <v>136</v>
      </c>
      <c r="B173" s="11" t="n">
        <v>16</v>
      </c>
      <c r="C173" s="13" t="s">
        <v>501</v>
      </c>
      <c r="D173" s="12" t="s">
        <v>187</v>
      </c>
      <c r="E173" s="11"/>
      <c r="F173" s="11"/>
      <c r="G173" s="11"/>
      <c r="H173" s="11"/>
      <c r="I173" s="11"/>
      <c r="J173" s="11" t="str">
        <f aca="false">IF(OR(E173="X",H173="X"),"Não","Sim")</f>
        <v>Sim</v>
      </c>
      <c r="K173" s="12"/>
      <c r="L173" s="12" t="s">
        <v>502</v>
      </c>
    </row>
    <row r="174" customFormat="false" ht="15" hidden="false" customHeight="true" outlineLevel="0" collapsed="false">
      <c r="A174" s="13" t="s">
        <v>142</v>
      </c>
      <c r="B174" s="11" t="n">
        <v>1</v>
      </c>
      <c r="C174" s="13" t="s">
        <v>503</v>
      </c>
      <c r="D174" s="12" t="s">
        <v>165</v>
      </c>
      <c r="E174" s="11" t="s">
        <v>166</v>
      </c>
      <c r="F174" s="11"/>
      <c r="G174" s="11"/>
      <c r="H174" s="11"/>
      <c r="I174" s="11"/>
      <c r="J174" s="11" t="str">
        <f aca="false">IF(OR(E174="X",H174="X"),"Não","Sim")</f>
        <v>Não</v>
      </c>
      <c r="K174" s="12"/>
      <c r="L174" s="12" t="s">
        <v>504</v>
      </c>
    </row>
    <row r="175" customFormat="false" ht="15" hidden="false" customHeight="true" outlineLevel="0" collapsed="false">
      <c r="A175" s="13" t="s">
        <v>142</v>
      </c>
      <c r="B175" s="11" t="n">
        <v>2</v>
      </c>
      <c r="C175" s="13" t="s">
        <v>305</v>
      </c>
      <c r="D175" s="12" t="s">
        <v>165</v>
      </c>
      <c r="E175" s="11"/>
      <c r="F175" s="11" t="s">
        <v>166</v>
      </c>
      <c r="G175" s="11"/>
      <c r="H175" s="11" t="s">
        <v>166</v>
      </c>
      <c r="I175" s="11"/>
      <c r="J175" s="11" t="str">
        <f aca="false">IF(OR(E175="X",H175="X"),"Não","Sim")</f>
        <v>Não</v>
      </c>
      <c r="K175" s="12" t="s">
        <v>306</v>
      </c>
      <c r="L175" s="12" t="s">
        <v>505</v>
      </c>
    </row>
    <row r="176" customFormat="false" ht="15" hidden="false" customHeight="true" outlineLevel="0" collapsed="false">
      <c r="A176" s="13" t="s">
        <v>142</v>
      </c>
      <c r="B176" s="11" t="n">
        <v>3</v>
      </c>
      <c r="C176" s="13" t="s">
        <v>268</v>
      </c>
      <c r="D176" s="12" t="s">
        <v>165</v>
      </c>
      <c r="E176" s="11"/>
      <c r="F176" s="11" t="s">
        <v>166</v>
      </c>
      <c r="G176" s="11"/>
      <c r="H176" s="11" t="s">
        <v>166</v>
      </c>
      <c r="I176" s="11"/>
      <c r="J176" s="11" t="str">
        <f aca="false">IF(OR(E176="X",H176="X"),"Não","Sim")</f>
        <v>Não</v>
      </c>
      <c r="K176" s="12" t="s">
        <v>281</v>
      </c>
      <c r="L176" s="12" t="s">
        <v>506</v>
      </c>
    </row>
    <row r="177" customFormat="false" ht="15" hidden="false" customHeight="true" outlineLevel="0" collapsed="false">
      <c r="A177" s="13" t="s">
        <v>142</v>
      </c>
      <c r="B177" s="11" t="n">
        <v>4</v>
      </c>
      <c r="C177" s="13" t="s">
        <v>367</v>
      </c>
      <c r="D177" s="12" t="s">
        <v>213</v>
      </c>
      <c r="E177" s="11"/>
      <c r="F177" s="11"/>
      <c r="G177" s="11"/>
      <c r="H177" s="11" t="s">
        <v>166</v>
      </c>
      <c r="I177" s="11" t="s">
        <v>166</v>
      </c>
      <c r="J177" s="11" t="str">
        <f aca="false">IF(OR(E177="X",H177="X"),"Não","Sim")</f>
        <v>Não</v>
      </c>
      <c r="K177" s="12"/>
      <c r="L177" s="12" t="s">
        <v>368</v>
      </c>
    </row>
    <row r="178" customFormat="false" ht="15" hidden="false" customHeight="true" outlineLevel="0" collapsed="false">
      <c r="A178" s="13" t="s">
        <v>142</v>
      </c>
      <c r="B178" s="11" t="n">
        <v>5</v>
      </c>
      <c r="C178" s="13" t="s">
        <v>288</v>
      </c>
      <c r="D178" s="12" t="s">
        <v>165</v>
      </c>
      <c r="E178" s="11"/>
      <c r="F178" s="11" t="s">
        <v>166</v>
      </c>
      <c r="G178" s="11"/>
      <c r="H178" s="11"/>
      <c r="I178" s="11" t="s">
        <v>166</v>
      </c>
      <c r="J178" s="11" t="str">
        <f aca="false">IF(OR(E178="X",H178="X"),"Não","Sim")</f>
        <v>Sim</v>
      </c>
      <c r="K178" s="12" t="s">
        <v>369</v>
      </c>
      <c r="L178" s="12" t="s">
        <v>507</v>
      </c>
    </row>
    <row r="179" customFormat="false" ht="15" hidden="false" customHeight="true" outlineLevel="0" collapsed="false">
      <c r="A179" s="13" t="s">
        <v>142</v>
      </c>
      <c r="B179" s="11" t="n">
        <v>6</v>
      </c>
      <c r="C179" s="13" t="s">
        <v>508</v>
      </c>
      <c r="D179" s="12" t="s">
        <v>165</v>
      </c>
      <c r="E179" s="11"/>
      <c r="F179" s="11"/>
      <c r="G179" s="11"/>
      <c r="H179" s="11" t="s">
        <v>166</v>
      </c>
      <c r="I179" s="11" t="s">
        <v>166</v>
      </c>
      <c r="J179" s="11" t="str">
        <f aca="false">IF(OR(E179="X",H179="X"),"Não","Sim")</f>
        <v>Não</v>
      </c>
      <c r="K179" s="12"/>
      <c r="L179" s="12" t="s">
        <v>509</v>
      </c>
    </row>
    <row r="180" customFormat="false" ht="15" hidden="false" customHeight="true" outlineLevel="0" collapsed="false">
      <c r="A180" s="13" t="s">
        <v>146</v>
      </c>
      <c r="B180" s="11" t="n">
        <v>1</v>
      </c>
      <c r="C180" s="13" t="s">
        <v>510</v>
      </c>
      <c r="D180" s="12" t="s">
        <v>165</v>
      </c>
      <c r="E180" s="11" t="s">
        <v>166</v>
      </c>
      <c r="F180" s="11"/>
      <c r="G180" s="11"/>
      <c r="H180" s="11"/>
      <c r="I180" s="11"/>
      <c r="J180" s="11" t="str">
        <f aca="false">IF(OR(E180="X",H180="X"),"Não","Sim")</f>
        <v>Não</v>
      </c>
      <c r="K180" s="12"/>
      <c r="L180" s="12" t="s">
        <v>511</v>
      </c>
    </row>
    <row r="181" customFormat="false" ht="15" hidden="false" customHeight="true" outlineLevel="0" collapsed="false">
      <c r="A181" s="13" t="s">
        <v>146</v>
      </c>
      <c r="B181" s="11" t="n">
        <v>2</v>
      </c>
      <c r="C181" s="13" t="s">
        <v>295</v>
      </c>
      <c r="D181" s="12" t="s">
        <v>165</v>
      </c>
      <c r="E181" s="11"/>
      <c r="F181" s="11" t="s">
        <v>166</v>
      </c>
      <c r="G181" s="11"/>
      <c r="H181" s="11" t="s">
        <v>166</v>
      </c>
      <c r="I181" s="11"/>
      <c r="J181" s="11" t="str">
        <f aca="false">IF(OR(E181="X",H181="X"),"Não","Sim")</f>
        <v>Não</v>
      </c>
      <c r="K181" s="12" t="s">
        <v>309</v>
      </c>
      <c r="L181" s="12" t="s">
        <v>512</v>
      </c>
    </row>
    <row r="182" customFormat="false" ht="34.5" hidden="false" customHeight="true" outlineLevel="0" collapsed="false">
      <c r="A182" s="13" t="s">
        <v>146</v>
      </c>
      <c r="B182" s="11" t="n">
        <v>3</v>
      </c>
      <c r="C182" s="13" t="s">
        <v>513</v>
      </c>
      <c r="D182" s="12" t="s">
        <v>231</v>
      </c>
      <c r="E182" s="11"/>
      <c r="F182" s="11"/>
      <c r="G182" s="11"/>
      <c r="H182" s="11" t="s">
        <v>166</v>
      </c>
      <c r="I182" s="11" t="s">
        <v>166</v>
      </c>
      <c r="J182" s="11" t="str">
        <f aca="false">IF(OR(E182="X",H182="X"),"Não","Sim")</f>
        <v>Não</v>
      </c>
      <c r="K182" s="12"/>
      <c r="L182" s="12" t="s">
        <v>514</v>
      </c>
    </row>
    <row r="183" customFormat="false" ht="23.25" hidden="false" customHeight="true" outlineLevel="0" collapsed="false">
      <c r="A183" s="13" t="s">
        <v>146</v>
      </c>
      <c r="B183" s="11" t="n">
        <v>4</v>
      </c>
      <c r="C183" s="13" t="s">
        <v>515</v>
      </c>
      <c r="D183" s="12" t="s">
        <v>178</v>
      </c>
      <c r="E183" s="11"/>
      <c r="F183" s="11"/>
      <c r="G183" s="11"/>
      <c r="H183" s="11" t="s">
        <v>166</v>
      </c>
      <c r="I183" s="11" t="s">
        <v>166</v>
      </c>
      <c r="J183" s="11" t="str">
        <f aca="false">IF(OR(E183="X",H183="X"),"Não","Sim")</f>
        <v>Não</v>
      </c>
      <c r="K183" s="12"/>
      <c r="L183" s="12" t="s">
        <v>516</v>
      </c>
    </row>
    <row r="184" customFormat="false" ht="15" hidden="false" customHeight="true" outlineLevel="0" collapsed="false">
      <c r="A184" s="13" t="s">
        <v>146</v>
      </c>
      <c r="B184" s="11" t="n">
        <v>5</v>
      </c>
      <c r="C184" s="13" t="s">
        <v>517</v>
      </c>
      <c r="D184" s="12" t="s">
        <v>518</v>
      </c>
      <c r="E184" s="11"/>
      <c r="F184" s="11"/>
      <c r="G184" s="11"/>
      <c r="H184" s="11"/>
      <c r="I184" s="11" t="s">
        <v>166</v>
      </c>
      <c r="J184" s="11" t="str">
        <f aca="false">IF(OR(E184="X",H184="X"),"Não","Sim")</f>
        <v>Sim</v>
      </c>
      <c r="K184" s="12"/>
      <c r="L184" s="12" t="s">
        <v>519</v>
      </c>
    </row>
    <row r="185" customFormat="false" ht="15" hidden="false" customHeight="true" outlineLevel="0" collapsed="false">
      <c r="A185" s="13" t="s">
        <v>146</v>
      </c>
      <c r="B185" s="11" t="n">
        <v>6</v>
      </c>
      <c r="C185" s="13" t="s">
        <v>357</v>
      </c>
      <c r="D185" s="12" t="s">
        <v>358</v>
      </c>
      <c r="E185" s="11"/>
      <c r="F185" s="11"/>
      <c r="G185" s="11"/>
      <c r="H185" s="11"/>
      <c r="I185" s="11"/>
      <c r="J185" s="11" t="str">
        <f aca="false">IF(OR(E185="X",H185="X"),"Não","Sim")</f>
        <v>Sim</v>
      </c>
      <c r="K185" s="12"/>
      <c r="L185" s="12" t="s">
        <v>520</v>
      </c>
    </row>
    <row r="186" customFormat="false" ht="15" hidden="false" customHeight="true" outlineLevel="0" collapsed="false">
      <c r="A186" s="13" t="s">
        <v>146</v>
      </c>
      <c r="B186" s="11" t="n">
        <v>7</v>
      </c>
      <c r="C186" s="13" t="s">
        <v>217</v>
      </c>
      <c r="D186" s="12" t="s">
        <v>165</v>
      </c>
      <c r="E186" s="11"/>
      <c r="F186" s="11" t="s">
        <v>166</v>
      </c>
      <c r="G186" s="11"/>
      <c r="H186" s="11" t="s">
        <v>166</v>
      </c>
      <c r="I186" s="11"/>
      <c r="J186" s="11" t="str">
        <f aca="false">IF(OR(E186="X",H186="X"),"Não","Sim")</f>
        <v>Não</v>
      </c>
      <c r="K186" s="12" t="s">
        <v>218</v>
      </c>
      <c r="L186" s="12" t="s">
        <v>521</v>
      </c>
    </row>
    <row r="187" customFormat="false" ht="15" hidden="false" customHeight="true" outlineLevel="0" collapsed="false">
      <c r="A187" s="13" t="s">
        <v>146</v>
      </c>
      <c r="B187" s="11" t="n">
        <v>8</v>
      </c>
      <c r="C187" s="13" t="s">
        <v>522</v>
      </c>
      <c r="D187" s="12" t="s">
        <v>187</v>
      </c>
      <c r="E187" s="11"/>
      <c r="F187" s="11"/>
      <c r="G187" s="11"/>
      <c r="H187" s="11" t="s">
        <v>166</v>
      </c>
      <c r="I187" s="11"/>
      <c r="J187" s="11" t="str">
        <f aca="false">IF(OR(E187="X",H187="X"),"Não","Sim")</f>
        <v>Não</v>
      </c>
      <c r="K187" s="12"/>
      <c r="L187" s="12" t="s">
        <v>459</v>
      </c>
    </row>
    <row r="188" customFormat="false" ht="15" hidden="false" customHeight="true" outlineLevel="0" collapsed="false">
      <c r="A188" s="13" t="s">
        <v>146</v>
      </c>
      <c r="B188" s="11" t="n">
        <v>9</v>
      </c>
      <c r="C188" s="13" t="s">
        <v>523</v>
      </c>
      <c r="D188" s="12" t="s">
        <v>187</v>
      </c>
      <c r="E188" s="11"/>
      <c r="F188" s="11"/>
      <c r="G188" s="11"/>
      <c r="H188" s="11"/>
      <c r="I188" s="11"/>
      <c r="J188" s="11" t="str">
        <f aca="false">IF(OR(E188="X",H188="X"),"Não","Sim")</f>
        <v>Sim</v>
      </c>
      <c r="K188" s="12"/>
      <c r="L188" s="12" t="s">
        <v>524</v>
      </c>
    </row>
    <row r="189" customFormat="false" ht="15" hidden="false" customHeight="true" outlineLevel="0" collapsed="false">
      <c r="A189" s="13" t="s">
        <v>146</v>
      </c>
      <c r="B189" s="11" t="n">
        <v>10</v>
      </c>
      <c r="C189" s="13" t="s">
        <v>525</v>
      </c>
      <c r="D189" s="12" t="s">
        <v>165</v>
      </c>
      <c r="E189" s="11"/>
      <c r="F189" s="11" t="s">
        <v>166</v>
      </c>
      <c r="G189" s="11"/>
      <c r="H189" s="11"/>
      <c r="I189" s="11"/>
      <c r="J189" s="11" t="str">
        <f aca="false">IF(OR(E189="X",H189="X"),"Não","Sim")</f>
        <v>Sim</v>
      </c>
      <c r="K189" s="12" t="s">
        <v>218</v>
      </c>
      <c r="L189" s="12" t="s">
        <v>526</v>
      </c>
    </row>
    <row r="190" customFormat="false" ht="23.25" hidden="false" customHeight="true" outlineLevel="0" collapsed="false">
      <c r="A190" s="13" t="s">
        <v>146</v>
      </c>
      <c r="B190" s="11" t="n">
        <v>11</v>
      </c>
      <c r="C190" s="13" t="s">
        <v>527</v>
      </c>
      <c r="D190" s="12" t="s">
        <v>187</v>
      </c>
      <c r="E190" s="11"/>
      <c r="F190" s="11"/>
      <c r="G190" s="11"/>
      <c r="H190" s="11"/>
      <c r="I190" s="11"/>
      <c r="J190" s="11" t="str">
        <f aca="false">IF(OR(E190="X",H190="X"),"Não","Sim")</f>
        <v>Sim</v>
      </c>
      <c r="K190" s="12"/>
      <c r="L190" s="12" t="s">
        <v>528</v>
      </c>
    </row>
    <row r="191" customFormat="false" ht="15" hidden="false" customHeight="true" outlineLevel="0" collapsed="false">
      <c r="A191" s="13" t="s">
        <v>146</v>
      </c>
      <c r="B191" s="11" t="n">
        <v>12</v>
      </c>
      <c r="C191" s="13" t="s">
        <v>529</v>
      </c>
      <c r="D191" s="12" t="s">
        <v>286</v>
      </c>
      <c r="E191" s="11"/>
      <c r="F191" s="11"/>
      <c r="G191" s="11"/>
      <c r="H191" s="11"/>
      <c r="I191" s="11" t="s">
        <v>166</v>
      </c>
      <c r="J191" s="11" t="str">
        <f aca="false">IF(OR(E191="X",H191="X"),"Não","Sim")</f>
        <v>Sim</v>
      </c>
      <c r="K191" s="12"/>
      <c r="L191" s="12" t="s">
        <v>530</v>
      </c>
    </row>
    <row r="192" customFormat="false" ht="23.25" hidden="false" customHeight="true" outlineLevel="0" collapsed="false">
      <c r="A192" s="13" t="s">
        <v>146</v>
      </c>
      <c r="B192" s="11" t="n">
        <v>13</v>
      </c>
      <c r="C192" s="13" t="s">
        <v>531</v>
      </c>
      <c r="D192" s="12" t="s">
        <v>286</v>
      </c>
      <c r="E192" s="11"/>
      <c r="F192" s="11"/>
      <c r="G192" s="11"/>
      <c r="H192" s="11"/>
      <c r="I192" s="11" t="s">
        <v>166</v>
      </c>
      <c r="J192" s="11" t="str">
        <f aca="false">IF(OR(E192="X",H192="X"),"Não","Sim")</f>
        <v>Sim</v>
      </c>
      <c r="K192" s="12"/>
      <c r="L192" s="12" t="s">
        <v>532</v>
      </c>
    </row>
    <row r="193" customFormat="false" ht="15" hidden="false" customHeight="true" outlineLevel="0" collapsed="false">
      <c r="A193" s="13" t="s">
        <v>146</v>
      </c>
      <c r="B193" s="11" t="n">
        <v>14</v>
      </c>
      <c r="C193" s="13" t="s">
        <v>533</v>
      </c>
      <c r="D193" s="12" t="s">
        <v>341</v>
      </c>
      <c r="E193" s="11"/>
      <c r="F193" s="11"/>
      <c r="G193" s="11"/>
      <c r="H193" s="11"/>
      <c r="I193" s="11" t="s">
        <v>166</v>
      </c>
      <c r="J193" s="11" t="str">
        <f aca="false">IF(OR(E193="X",H193="X"),"Não","Sim")</f>
        <v>Sim</v>
      </c>
      <c r="K193" s="12"/>
      <c r="L193" s="12" t="s">
        <v>534</v>
      </c>
    </row>
    <row r="194" customFormat="false" ht="23.25" hidden="false" customHeight="true" outlineLevel="0" collapsed="false">
      <c r="A194" s="13" t="s">
        <v>146</v>
      </c>
      <c r="B194" s="11" t="n">
        <v>15</v>
      </c>
      <c r="C194" s="13" t="s">
        <v>535</v>
      </c>
      <c r="D194" s="12" t="s">
        <v>286</v>
      </c>
      <c r="E194" s="11"/>
      <c r="F194" s="11"/>
      <c r="G194" s="11"/>
      <c r="H194" s="11"/>
      <c r="I194" s="11" t="s">
        <v>166</v>
      </c>
      <c r="J194" s="11" t="str">
        <f aca="false">IF(OR(E194="X",H194="X"),"Não","Sim")</f>
        <v>Sim</v>
      </c>
      <c r="K194" s="12"/>
      <c r="L194" s="12" t="s">
        <v>536</v>
      </c>
    </row>
    <row r="195" customFormat="false" ht="15" hidden="false" customHeight="true" outlineLevel="0" collapsed="false">
      <c r="A195" s="13" t="s">
        <v>146</v>
      </c>
      <c r="B195" s="11" t="n">
        <v>16</v>
      </c>
      <c r="C195" s="13" t="s">
        <v>537</v>
      </c>
      <c r="D195" s="12" t="s">
        <v>286</v>
      </c>
      <c r="E195" s="11"/>
      <c r="F195" s="11"/>
      <c r="G195" s="11"/>
      <c r="H195" s="11"/>
      <c r="I195" s="11" t="s">
        <v>166</v>
      </c>
      <c r="J195" s="11" t="str">
        <f aca="false">IF(OR(E195="X",H195="X"),"Não","Sim")</f>
        <v>Sim</v>
      </c>
      <c r="K195" s="12"/>
      <c r="L195" s="12" t="s">
        <v>538</v>
      </c>
    </row>
    <row r="196" customFormat="false" ht="15" hidden="false" customHeight="true" outlineLevel="0" collapsed="false">
      <c r="A196" s="13" t="s">
        <v>152</v>
      </c>
      <c r="B196" s="11" t="n">
        <v>1</v>
      </c>
      <c r="C196" s="13" t="s">
        <v>539</v>
      </c>
      <c r="D196" s="12" t="s">
        <v>165</v>
      </c>
      <c r="E196" s="11" t="s">
        <v>166</v>
      </c>
      <c r="F196" s="11"/>
      <c r="G196" s="11"/>
      <c r="H196" s="11"/>
      <c r="I196" s="11"/>
      <c r="J196" s="11" t="str">
        <f aca="false">IF(OR(E196="X",H196="X"),"Não","Sim")</f>
        <v>Não</v>
      </c>
      <c r="K196" s="12"/>
      <c r="L196" s="12" t="s">
        <v>540</v>
      </c>
    </row>
    <row r="197" customFormat="false" ht="15" hidden="false" customHeight="true" outlineLevel="0" collapsed="false">
      <c r="A197" s="13" t="s">
        <v>152</v>
      </c>
      <c r="B197" s="11" t="n">
        <v>2</v>
      </c>
      <c r="C197" s="13" t="s">
        <v>510</v>
      </c>
      <c r="D197" s="12" t="s">
        <v>165</v>
      </c>
      <c r="E197" s="11"/>
      <c r="F197" s="11" t="s">
        <v>166</v>
      </c>
      <c r="G197" s="11"/>
      <c r="H197" s="11" t="s">
        <v>166</v>
      </c>
      <c r="I197" s="11"/>
      <c r="J197" s="11" t="str">
        <f aca="false">IF(OR(E197="X",H197="X"),"Não","Sim")</f>
        <v>Não</v>
      </c>
      <c r="K197" s="12" t="s">
        <v>541</v>
      </c>
      <c r="L197" s="12" t="s">
        <v>542</v>
      </c>
    </row>
    <row r="198" customFormat="false" ht="23.25" hidden="false" customHeight="true" outlineLevel="0" collapsed="false">
      <c r="A198" s="13" t="s">
        <v>152</v>
      </c>
      <c r="B198" s="11" t="n">
        <v>3</v>
      </c>
      <c r="C198" s="13" t="s">
        <v>363</v>
      </c>
      <c r="D198" s="12" t="s">
        <v>165</v>
      </c>
      <c r="E198" s="11"/>
      <c r="F198" s="11" t="s">
        <v>166</v>
      </c>
      <c r="G198" s="11"/>
      <c r="H198" s="11" t="s">
        <v>166</v>
      </c>
      <c r="I198" s="11"/>
      <c r="J198" s="11" t="str">
        <f aca="false">IF(OR(E198="X",H198="X"),"Não","Sim")</f>
        <v>Não</v>
      </c>
      <c r="K198" s="12" t="s">
        <v>387</v>
      </c>
      <c r="L198" s="12" t="s">
        <v>543</v>
      </c>
    </row>
    <row r="199" customFormat="false" ht="15" hidden="false" customHeight="true" outlineLevel="0" collapsed="false">
      <c r="A199" s="13" t="s">
        <v>152</v>
      </c>
      <c r="B199" s="11" t="n">
        <v>4</v>
      </c>
      <c r="C199" s="13" t="s">
        <v>544</v>
      </c>
      <c r="D199" s="12" t="s">
        <v>165</v>
      </c>
      <c r="E199" s="11"/>
      <c r="F199" s="11"/>
      <c r="G199" s="11"/>
      <c r="H199" s="11" t="s">
        <v>166</v>
      </c>
      <c r="I199" s="11" t="s">
        <v>166</v>
      </c>
      <c r="J199" s="11" t="str">
        <f aca="false">IF(OR(E199="X",H199="X"),"Não","Sim")</f>
        <v>Não</v>
      </c>
      <c r="K199" s="12"/>
      <c r="L199" s="12" t="s">
        <v>545</v>
      </c>
    </row>
    <row r="200" customFormat="false" ht="23.25" hidden="false" customHeight="true" outlineLevel="0" collapsed="false">
      <c r="A200" s="13" t="s">
        <v>152</v>
      </c>
      <c r="B200" s="11" t="n">
        <v>5</v>
      </c>
      <c r="C200" s="13" t="s">
        <v>546</v>
      </c>
      <c r="D200" s="12" t="s">
        <v>436</v>
      </c>
      <c r="E200" s="11"/>
      <c r="F200" s="11"/>
      <c r="G200" s="11"/>
      <c r="H200" s="11" t="s">
        <v>166</v>
      </c>
      <c r="I200" s="11" t="s">
        <v>166</v>
      </c>
      <c r="J200" s="11" t="str">
        <f aca="false">IF(OR(E200="X",H200="X"),"Não","Sim")</f>
        <v>Não</v>
      </c>
      <c r="K200" s="12"/>
      <c r="L200" s="12" t="s">
        <v>547</v>
      </c>
    </row>
    <row r="201" customFormat="false" ht="15" hidden="false" customHeight="true" outlineLevel="0" collapsed="false">
      <c r="A201" s="13" t="s">
        <v>152</v>
      </c>
      <c r="B201" s="11" t="n">
        <v>6</v>
      </c>
      <c r="C201" s="13" t="s">
        <v>548</v>
      </c>
      <c r="D201" s="12" t="s">
        <v>165</v>
      </c>
      <c r="E201" s="11"/>
      <c r="F201" s="11" t="s">
        <v>166</v>
      </c>
      <c r="G201" s="11"/>
      <c r="H201" s="11"/>
      <c r="I201" s="11"/>
      <c r="J201" s="11" t="str">
        <f aca="false">IF(OR(E201="X",H201="X"),"Não","Sim")</f>
        <v>Sim</v>
      </c>
      <c r="K201" s="12" t="s">
        <v>373</v>
      </c>
      <c r="L201" s="12" t="s">
        <v>549</v>
      </c>
    </row>
    <row r="202" customFormat="false" ht="23.25" hidden="false" customHeight="true" outlineLevel="0" collapsed="false">
      <c r="A202" s="13" t="s">
        <v>152</v>
      </c>
      <c r="B202" s="11" t="n">
        <v>7</v>
      </c>
      <c r="C202" s="13" t="s">
        <v>550</v>
      </c>
      <c r="D202" s="12" t="s">
        <v>286</v>
      </c>
      <c r="E202" s="11"/>
      <c r="F202" s="11"/>
      <c r="G202" s="11"/>
      <c r="H202" s="11"/>
      <c r="I202" s="11" t="s">
        <v>166</v>
      </c>
      <c r="J202" s="11" t="str">
        <f aca="false">IF(OR(E202="X",H202="X"),"Não","Sim")</f>
        <v>Sim</v>
      </c>
      <c r="K202" s="12"/>
      <c r="L202" s="12" t="s">
        <v>551</v>
      </c>
    </row>
    <row r="203" customFormat="false" ht="15" hidden="false" customHeight="true" outlineLevel="0" collapsed="false">
      <c r="A203" s="13" t="s">
        <v>152</v>
      </c>
      <c r="B203" s="11" t="n">
        <v>8</v>
      </c>
      <c r="C203" s="13" t="s">
        <v>552</v>
      </c>
      <c r="D203" s="12" t="s">
        <v>286</v>
      </c>
      <c r="E203" s="11"/>
      <c r="F203" s="11"/>
      <c r="G203" s="11"/>
      <c r="H203" s="11"/>
      <c r="I203" s="11" t="s">
        <v>166</v>
      </c>
      <c r="J203" s="11" t="str">
        <f aca="false">IF(OR(E203="X",H203="X"),"Não","Sim")</f>
        <v>Sim</v>
      </c>
      <c r="K203" s="12"/>
      <c r="L203" s="12" t="s">
        <v>553</v>
      </c>
    </row>
    <row r="204" customFormat="false" ht="15" hidden="false" customHeight="true" outlineLevel="0" collapsed="false">
      <c r="A204" s="13" t="s">
        <v>152</v>
      </c>
      <c r="B204" s="11" t="n">
        <v>9</v>
      </c>
      <c r="C204" s="13" t="s">
        <v>554</v>
      </c>
      <c r="D204" s="12" t="s">
        <v>286</v>
      </c>
      <c r="E204" s="11"/>
      <c r="F204" s="11"/>
      <c r="G204" s="11"/>
      <c r="H204" s="11"/>
      <c r="I204" s="11" t="s">
        <v>166</v>
      </c>
      <c r="J204" s="11" t="str">
        <f aca="false">IF(OR(E204="X",H204="X"),"Não","Sim")</f>
        <v>Sim</v>
      </c>
      <c r="K204" s="12"/>
      <c r="L204" s="12" t="s">
        <v>555</v>
      </c>
    </row>
    <row r="205" customFormat="false" ht="15" hidden="false" customHeight="true" outlineLevel="0" collapsed="false">
      <c r="A205" s="13" t="s">
        <v>155</v>
      </c>
      <c r="B205" s="11" t="n">
        <v>1</v>
      </c>
      <c r="C205" s="13" t="s">
        <v>556</v>
      </c>
      <c r="D205" s="12" t="s">
        <v>165</v>
      </c>
      <c r="E205" s="11" t="s">
        <v>166</v>
      </c>
      <c r="F205" s="11"/>
      <c r="G205" s="11"/>
      <c r="H205" s="11"/>
      <c r="I205" s="11"/>
      <c r="J205" s="11" t="str">
        <f aca="false">IF(OR(E205="X",H205="X"),"Não","Sim")</f>
        <v>Não</v>
      </c>
      <c r="K205" s="12"/>
      <c r="L205" s="12" t="s">
        <v>557</v>
      </c>
    </row>
    <row r="206" customFormat="false" ht="15" hidden="false" customHeight="true" outlineLevel="0" collapsed="false">
      <c r="A206" s="13" t="s">
        <v>155</v>
      </c>
      <c r="B206" s="11" t="n">
        <v>2</v>
      </c>
      <c r="C206" s="13" t="s">
        <v>268</v>
      </c>
      <c r="D206" s="12" t="s">
        <v>165</v>
      </c>
      <c r="E206" s="11"/>
      <c r="F206" s="11" t="s">
        <v>166</v>
      </c>
      <c r="G206" s="11"/>
      <c r="H206" s="11" t="s">
        <v>166</v>
      </c>
      <c r="I206" s="11"/>
      <c r="J206" s="11" t="str">
        <f aca="false">IF(OR(E206="X",H206="X"),"Não","Sim")</f>
        <v>Não</v>
      </c>
      <c r="K206" s="12" t="s">
        <v>281</v>
      </c>
      <c r="L206" s="12" t="s">
        <v>558</v>
      </c>
    </row>
    <row r="207" customFormat="false" ht="23.25" hidden="false" customHeight="true" outlineLevel="0" collapsed="false">
      <c r="A207" s="13" t="s">
        <v>155</v>
      </c>
      <c r="B207" s="11" t="n">
        <v>3</v>
      </c>
      <c r="C207" s="13" t="s">
        <v>230</v>
      </c>
      <c r="D207" s="12" t="s">
        <v>181</v>
      </c>
      <c r="E207" s="11"/>
      <c r="F207" s="11"/>
      <c r="G207" s="11"/>
      <c r="H207" s="11" t="s">
        <v>166</v>
      </c>
      <c r="I207" s="11" t="s">
        <v>166</v>
      </c>
      <c r="J207" s="11" t="str">
        <f aca="false">IF(OR(E207="X",H207="X"),"Não","Sim")</f>
        <v>Não</v>
      </c>
      <c r="K207" s="12"/>
      <c r="L207" s="12" t="s">
        <v>559</v>
      </c>
    </row>
    <row r="208" customFormat="false" ht="15" hidden="false" customHeight="true" outlineLevel="0" collapsed="false">
      <c r="A208" s="13" t="s">
        <v>155</v>
      </c>
      <c r="B208" s="11" t="n">
        <v>4</v>
      </c>
      <c r="C208" s="13" t="s">
        <v>560</v>
      </c>
      <c r="D208" s="12" t="s">
        <v>165</v>
      </c>
      <c r="E208" s="11"/>
      <c r="F208" s="11"/>
      <c r="G208" s="11"/>
      <c r="H208" s="11" t="s">
        <v>166</v>
      </c>
      <c r="I208" s="11" t="s">
        <v>166</v>
      </c>
      <c r="J208" s="11" t="str">
        <f aca="false">IF(OR(E208="X",H208="X"),"Não","Sim")</f>
        <v>Não</v>
      </c>
      <c r="K208" s="12"/>
      <c r="L208" s="12" t="s">
        <v>561</v>
      </c>
    </row>
    <row r="209" customFormat="false" ht="15" hidden="false" customHeight="true" outlineLevel="0" collapsed="false">
      <c r="A209" s="13" t="s">
        <v>155</v>
      </c>
      <c r="B209" s="11" t="n">
        <v>5</v>
      </c>
      <c r="C209" s="13" t="s">
        <v>164</v>
      </c>
      <c r="D209" s="12" t="s">
        <v>165</v>
      </c>
      <c r="E209" s="11"/>
      <c r="F209" s="11" t="s">
        <v>166</v>
      </c>
      <c r="G209" s="11"/>
      <c r="H209" s="11"/>
      <c r="I209" s="11"/>
      <c r="J209" s="11" t="str">
        <f aca="false">IF(OR(E209="X",H209="X"),"Não","Sim")</f>
        <v>Sim</v>
      </c>
      <c r="K209" s="12" t="s">
        <v>218</v>
      </c>
      <c r="L209" s="12" t="s">
        <v>562</v>
      </c>
    </row>
    <row r="210" customFormat="false" ht="15" hidden="false" customHeight="true" outlineLevel="0" collapsed="false">
      <c r="A210" s="13" t="s">
        <v>155</v>
      </c>
      <c r="B210" s="11" t="n">
        <v>6</v>
      </c>
      <c r="C210" s="13" t="s">
        <v>295</v>
      </c>
      <c r="D210" s="12" t="s">
        <v>165</v>
      </c>
      <c r="E210" s="11"/>
      <c r="F210" s="11" t="s">
        <v>166</v>
      </c>
      <c r="G210" s="11"/>
      <c r="H210" s="11"/>
      <c r="I210" s="11"/>
      <c r="J210" s="11" t="str">
        <f aca="false">IF(OR(E210="X",H210="X"),"Não","Sim")</f>
        <v>Sim</v>
      </c>
      <c r="K210" s="12" t="s">
        <v>309</v>
      </c>
      <c r="L210" s="12" t="s">
        <v>563</v>
      </c>
    </row>
    <row r="211" customFormat="false" ht="15" hidden="false" customHeight="true" outlineLevel="0" collapsed="false">
      <c r="A211" s="13" t="s">
        <v>155</v>
      </c>
      <c r="B211" s="11" t="n">
        <v>7</v>
      </c>
      <c r="C211" s="13" t="s">
        <v>460</v>
      </c>
      <c r="D211" s="12" t="s">
        <v>165</v>
      </c>
      <c r="E211" s="11"/>
      <c r="F211" s="11" t="s">
        <v>166</v>
      </c>
      <c r="G211" s="11"/>
      <c r="H211" s="11"/>
      <c r="I211" s="11"/>
      <c r="J211" s="11" t="str">
        <f aca="false">IF(OR(E211="X",H211="X"),"Não","Sim")</f>
        <v>Sim</v>
      </c>
      <c r="K211" s="12" t="s">
        <v>564</v>
      </c>
      <c r="L211" s="12" t="s">
        <v>565</v>
      </c>
    </row>
    <row r="212" customFormat="false" ht="15" hidden="false" customHeight="true" outlineLevel="0" collapsed="false">
      <c r="A212" s="13" t="s">
        <v>155</v>
      </c>
      <c r="B212" s="11" t="n">
        <v>8</v>
      </c>
      <c r="C212" s="13" t="s">
        <v>566</v>
      </c>
      <c r="D212" s="12" t="s">
        <v>358</v>
      </c>
      <c r="E212" s="11"/>
      <c r="F212" s="11"/>
      <c r="G212" s="11"/>
      <c r="H212" s="11"/>
      <c r="I212" s="11" t="s">
        <v>166</v>
      </c>
      <c r="J212" s="11" t="str">
        <f aca="false">IF(OR(E212="X",H212="X"),"Não","Sim")</f>
        <v>Sim</v>
      </c>
      <c r="K212" s="12"/>
      <c r="L212" s="12" t="s">
        <v>567</v>
      </c>
    </row>
    <row r="213" customFormat="false" ht="15" hidden="false" customHeight="false" outlineLevel="0" collapsed="false">
      <c r="A213" s="13" t="s">
        <v>155</v>
      </c>
      <c r="B213" s="11" t="n">
        <v>9</v>
      </c>
      <c r="C213" s="13" t="s">
        <v>568</v>
      </c>
      <c r="D213" s="12" t="s">
        <v>187</v>
      </c>
      <c r="E213" s="11"/>
      <c r="F213" s="11"/>
      <c r="G213" s="11"/>
      <c r="H213" s="11" t="s">
        <v>166</v>
      </c>
      <c r="I213" s="11"/>
      <c r="J213" s="11" t="str">
        <f aca="false">IF(OR(E213="X",H213="X"),"Não","Sim")</f>
        <v>Não</v>
      </c>
      <c r="K213" s="12"/>
      <c r="L213" s="12" t="s">
        <v>569</v>
      </c>
    </row>
  </sheetData>
  <autoFilter ref="A1:L2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570</v>
      </c>
    </row>
    <row r="2" customFormat="false" ht="15" hidden="false" customHeight="true" outlineLevel="0" collapsed="false">
      <c r="A2" s="9" t="s">
        <v>571</v>
      </c>
    </row>
    <row r="4" customFormat="false" ht="15" hidden="false" customHeight="true" outlineLevel="0" collapsed="false">
      <c r="A4" s="10" t="s">
        <v>40</v>
      </c>
      <c r="B4" s="10" t="s">
        <v>572</v>
      </c>
      <c r="C4" s="10" t="s">
        <v>573</v>
      </c>
      <c r="D4" s="10" t="s">
        <v>574</v>
      </c>
      <c r="E4" s="10" t="s">
        <v>575</v>
      </c>
      <c r="F4" s="10" t="s">
        <v>576</v>
      </c>
    </row>
    <row r="5" customFormat="false" ht="15" hidden="false" customHeight="true" outlineLevel="0" collapsed="false">
      <c r="A5" s="11" t="n">
        <v>1</v>
      </c>
      <c r="B5" s="12" t="s">
        <v>58</v>
      </c>
      <c r="C5" s="12" t="s">
        <v>217</v>
      </c>
      <c r="D5" s="12" t="s">
        <v>52</v>
      </c>
      <c r="E5" s="12" t="s">
        <v>164</v>
      </c>
      <c r="F5" s="11" t="s">
        <v>577</v>
      </c>
    </row>
    <row r="6" customFormat="false" ht="15" hidden="false" customHeight="true" outlineLevel="0" collapsed="false">
      <c r="A6" s="11" t="n">
        <v>2</v>
      </c>
      <c r="B6" s="12" t="s">
        <v>65</v>
      </c>
      <c r="C6" s="12" t="s">
        <v>195</v>
      </c>
      <c r="D6" s="12" t="s">
        <v>58</v>
      </c>
      <c r="E6" s="12" t="s">
        <v>195</v>
      </c>
      <c r="F6" s="11" t="s">
        <v>577</v>
      </c>
    </row>
    <row r="7" customFormat="false" ht="15" hidden="false" customHeight="true" outlineLevel="0" collapsed="false">
      <c r="A7" s="11" t="n">
        <v>3</v>
      </c>
      <c r="B7" s="12" t="s">
        <v>75</v>
      </c>
      <c r="C7" s="12" t="s">
        <v>251</v>
      </c>
      <c r="D7" s="12" t="s">
        <v>69</v>
      </c>
      <c r="E7" s="12" t="s">
        <v>251</v>
      </c>
      <c r="F7" s="11" t="s">
        <v>577</v>
      </c>
    </row>
    <row r="8" customFormat="false" ht="15" hidden="false" customHeight="true" outlineLevel="0" collapsed="false">
      <c r="A8" s="11" t="n">
        <v>4</v>
      </c>
      <c r="B8" s="12" t="s">
        <v>79</v>
      </c>
      <c r="C8" s="12" t="s">
        <v>268</v>
      </c>
      <c r="D8" s="12" t="s">
        <v>75</v>
      </c>
      <c r="E8" s="12" t="s">
        <v>268</v>
      </c>
      <c r="F8" s="11" t="s">
        <v>577</v>
      </c>
    </row>
    <row r="9" customFormat="false" ht="15" hidden="false" customHeight="true" outlineLevel="0" collapsed="false">
      <c r="A9" s="11" t="n">
        <v>5</v>
      </c>
      <c r="B9" s="12" t="s">
        <v>83</v>
      </c>
      <c r="C9" s="12" t="s">
        <v>268</v>
      </c>
      <c r="D9" s="12" t="s">
        <v>75</v>
      </c>
      <c r="E9" s="12" t="s">
        <v>268</v>
      </c>
      <c r="F9" s="11" t="s">
        <v>577</v>
      </c>
    </row>
    <row r="10" customFormat="false" ht="15" hidden="false" customHeight="true" outlineLevel="0" collapsed="false">
      <c r="A10" s="11" t="n">
        <v>6</v>
      </c>
      <c r="B10" s="12" t="s">
        <v>87</v>
      </c>
      <c r="C10" s="12" t="s">
        <v>195</v>
      </c>
      <c r="D10" s="12" t="s">
        <v>58</v>
      </c>
      <c r="E10" s="12" t="s">
        <v>195</v>
      </c>
      <c r="F10" s="11" t="s">
        <v>577</v>
      </c>
    </row>
    <row r="11" customFormat="false" ht="15" hidden="false" customHeight="true" outlineLevel="0" collapsed="false">
      <c r="A11" s="11" t="n">
        <v>7</v>
      </c>
      <c r="B11" s="12" t="s">
        <v>87</v>
      </c>
      <c r="C11" s="12" t="s">
        <v>164</v>
      </c>
      <c r="D11" s="12" t="s">
        <v>52</v>
      </c>
      <c r="E11" s="12" t="s">
        <v>164</v>
      </c>
      <c r="F11" s="11" t="s">
        <v>577</v>
      </c>
    </row>
    <row r="12" customFormat="false" ht="15" hidden="false" customHeight="true" outlineLevel="0" collapsed="false">
      <c r="A12" s="11" t="n">
        <v>8</v>
      </c>
      <c r="B12" s="12" t="s">
        <v>87</v>
      </c>
      <c r="C12" s="12" t="s">
        <v>302</v>
      </c>
      <c r="D12" s="12" t="s">
        <v>65</v>
      </c>
      <c r="E12" s="12" t="s">
        <v>226</v>
      </c>
      <c r="F12" s="11" t="s">
        <v>578</v>
      </c>
    </row>
    <row r="13" customFormat="false" ht="15" hidden="false" customHeight="true" outlineLevel="0" collapsed="false">
      <c r="A13" s="11" t="n">
        <v>9</v>
      </c>
      <c r="B13" s="12" t="s">
        <v>94</v>
      </c>
      <c r="C13" s="12" t="s">
        <v>295</v>
      </c>
      <c r="D13" s="12" t="s">
        <v>87</v>
      </c>
      <c r="E13" s="12" t="s">
        <v>295</v>
      </c>
      <c r="F13" s="11" t="s">
        <v>577</v>
      </c>
    </row>
    <row r="14" customFormat="false" ht="15" hidden="false" customHeight="true" outlineLevel="0" collapsed="false">
      <c r="A14" s="11" t="n">
        <v>10</v>
      </c>
      <c r="B14" s="12" t="s">
        <v>94</v>
      </c>
      <c r="C14" s="12" t="s">
        <v>268</v>
      </c>
      <c r="D14" s="12" t="s">
        <v>75</v>
      </c>
      <c r="E14" s="12" t="s">
        <v>268</v>
      </c>
      <c r="F14" s="11" t="s">
        <v>577</v>
      </c>
    </row>
    <row r="15" customFormat="false" ht="15" hidden="false" customHeight="true" outlineLevel="0" collapsed="false">
      <c r="A15" s="11" t="n">
        <v>11</v>
      </c>
      <c r="B15" s="12" t="s">
        <v>94</v>
      </c>
      <c r="C15" s="12" t="s">
        <v>288</v>
      </c>
      <c r="D15" s="12" t="s">
        <v>83</v>
      </c>
      <c r="E15" s="12" t="s">
        <v>288</v>
      </c>
      <c r="F15" s="11" t="s">
        <v>578</v>
      </c>
    </row>
    <row r="16" customFormat="false" ht="15" hidden="false" customHeight="true" outlineLevel="0" collapsed="false">
      <c r="A16" s="11" t="n">
        <v>12</v>
      </c>
      <c r="B16" s="12" t="s">
        <v>94</v>
      </c>
      <c r="C16" s="12" t="s">
        <v>279</v>
      </c>
      <c r="D16" s="12" t="s">
        <v>79</v>
      </c>
      <c r="E16" s="12" t="s">
        <v>279</v>
      </c>
      <c r="F16" s="11" t="s">
        <v>578</v>
      </c>
    </row>
    <row r="17" customFormat="false" ht="15" hidden="false" customHeight="true" outlineLevel="0" collapsed="false">
      <c r="A17" s="11" t="n">
        <v>13</v>
      </c>
      <c r="B17" s="12" t="s">
        <v>98</v>
      </c>
      <c r="C17" s="12" t="s">
        <v>363</v>
      </c>
      <c r="D17" s="12" t="s">
        <v>94</v>
      </c>
      <c r="E17" s="12" t="s">
        <v>363</v>
      </c>
      <c r="F17" s="11" t="s">
        <v>577</v>
      </c>
    </row>
    <row r="18" customFormat="false" ht="15" hidden="false" customHeight="true" outlineLevel="0" collapsed="false">
      <c r="A18" s="11" t="n">
        <v>14</v>
      </c>
      <c r="B18" s="12" t="s">
        <v>102</v>
      </c>
      <c r="C18" s="12" t="s">
        <v>295</v>
      </c>
      <c r="D18" s="12" t="s">
        <v>87</v>
      </c>
      <c r="E18" s="12" t="s">
        <v>295</v>
      </c>
      <c r="F18" s="11" t="s">
        <v>577</v>
      </c>
    </row>
    <row r="19" customFormat="false" ht="15" hidden="false" customHeight="true" outlineLevel="0" collapsed="false">
      <c r="A19" s="11" t="n">
        <v>15</v>
      </c>
      <c r="B19" s="12" t="s">
        <v>108</v>
      </c>
      <c r="C19" s="12" t="s">
        <v>195</v>
      </c>
      <c r="D19" s="12" t="s">
        <v>58</v>
      </c>
      <c r="E19" s="12" t="s">
        <v>195</v>
      </c>
      <c r="F19" s="11" t="s">
        <v>577</v>
      </c>
    </row>
    <row r="20" customFormat="false" ht="15" hidden="false" customHeight="true" outlineLevel="0" collapsed="false">
      <c r="A20" s="11" t="n">
        <v>16</v>
      </c>
      <c r="B20" s="12" t="s">
        <v>108</v>
      </c>
      <c r="C20" s="12" t="s">
        <v>295</v>
      </c>
      <c r="D20" s="12" t="s">
        <v>87</v>
      </c>
      <c r="E20" s="12" t="s">
        <v>295</v>
      </c>
      <c r="F20" s="11" t="s">
        <v>578</v>
      </c>
    </row>
    <row r="21" customFormat="false" ht="15" hidden="false" customHeight="true" outlineLevel="0" collapsed="false">
      <c r="A21" s="11" t="n">
        <v>17</v>
      </c>
      <c r="B21" s="12" t="s">
        <v>112</v>
      </c>
      <c r="C21" s="12" t="s">
        <v>408</v>
      </c>
      <c r="D21" s="12" t="s">
        <v>108</v>
      </c>
      <c r="E21" s="12" t="s">
        <v>408</v>
      </c>
      <c r="F21" s="11" t="s">
        <v>577</v>
      </c>
    </row>
    <row r="22" customFormat="false" ht="15" hidden="false" customHeight="true" outlineLevel="0" collapsed="false">
      <c r="A22" s="11" t="n">
        <v>18</v>
      </c>
      <c r="B22" s="12" t="s">
        <v>116</v>
      </c>
      <c r="C22" s="12" t="s">
        <v>195</v>
      </c>
      <c r="D22" s="12" t="s">
        <v>58</v>
      </c>
      <c r="E22" s="12" t="s">
        <v>195</v>
      </c>
      <c r="F22" s="11" t="s">
        <v>577</v>
      </c>
    </row>
    <row r="23" customFormat="false" ht="15" hidden="false" customHeight="true" outlineLevel="0" collapsed="false">
      <c r="A23" s="11" t="n">
        <v>19</v>
      </c>
      <c r="B23" s="12" t="s">
        <v>122</v>
      </c>
      <c r="C23" s="12" t="s">
        <v>295</v>
      </c>
      <c r="D23" s="12" t="s">
        <v>87</v>
      </c>
      <c r="E23" s="12" t="s">
        <v>295</v>
      </c>
      <c r="F23" s="11" t="s">
        <v>577</v>
      </c>
    </row>
    <row r="24" customFormat="false" ht="15" hidden="false" customHeight="true" outlineLevel="0" collapsed="false">
      <c r="A24" s="11" t="n">
        <v>20</v>
      </c>
      <c r="B24" s="12" t="s">
        <v>122</v>
      </c>
      <c r="C24" s="12" t="s">
        <v>164</v>
      </c>
      <c r="D24" s="12" t="s">
        <v>52</v>
      </c>
      <c r="E24" s="12" t="s">
        <v>164</v>
      </c>
      <c r="F24" s="11" t="s">
        <v>578</v>
      </c>
    </row>
    <row r="25" customFormat="false" ht="15" hidden="false" customHeight="true" outlineLevel="0" collapsed="false">
      <c r="A25" s="11" t="n">
        <v>21</v>
      </c>
      <c r="B25" s="12" t="s">
        <v>126</v>
      </c>
      <c r="C25" s="12" t="s">
        <v>268</v>
      </c>
      <c r="D25" s="12" t="s">
        <v>75</v>
      </c>
      <c r="E25" s="12" t="s">
        <v>268</v>
      </c>
      <c r="F25" s="11" t="s">
        <v>577</v>
      </c>
    </row>
    <row r="26" customFormat="false" ht="15" hidden="false" customHeight="true" outlineLevel="0" collapsed="false">
      <c r="A26" s="11" t="n">
        <v>22</v>
      </c>
      <c r="B26" s="12" t="s">
        <v>126</v>
      </c>
      <c r="C26" s="12" t="s">
        <v>164</v>
      </c>
      <c r="D26" s="12" t="s">
        <v>52</v>
      </c>
      <c r="E26" s="12" t="s">
        <v>164</v>
      </c>
      <c r="F26" s="11" t="s">
        <v>577</v>
      </c>
    </row>
    <row r="27" customFormat="false" ht="15" hidden="false" customHeight="true" outlineLevel="0" collapsed="false">
      <c r="A27" s="11" t="n">
        <v>23</v>
      </c>
      <c r="B27" s="12" t="s">
        <v>126</v>
      </c>
      <c r="C27" s="12" t="s">
        <v>475</v>
      </c>
      <c r="D27" s="12" t="s">
        <v>52</v>
      </c>
      <c r="E27" s="12" t="s">
        <v>164</v>
      </c>
      <c r="F27" s="11" t="s">
        <v>578</v>
      </c>
    </row>
    <row r="28" customFormat="false" ht="15" hidden="false" customHeight="true" outlineLevel="0" collapsed="false">
      <c r="A28" s="11" t="n">
        <v>24</v>
      </c>
      <c r="B28" s="12" t="s">
        <v>136</v>
      </c>
      <c r="C28" s="12" t="s">
        <v>195</v>
      </c>
      <c r="D28" s="12" t="s">
        <v>58</v>
      </c>
      <c r="E28" s="12" t="s">
        <v>195</v>
      </c>
      <c r="F28" s="11" t="s">
        <v>577</v>
      </c>
    </row>
    <row r="29" customFormat="false" ht="15" hidden="false" customHeight="true" outlineLevel="0" collapsed="false">
      <c r="A29" s="11" t="n">
        <v>25</v>
      </c>
      <c r="B29" s="12" t="s">
        <v>136</v>
      </c>
      <c r="C29" s="12" t="s">
        <v>217</v>
      </c>
      <c r="D29" s="12" t="s">
        <v>52</v>
      </c>
      <c r="E29" s="12" t="s">
        <v>164</v>
      </c>
      <c r="F29" s="11" t="s">
        <v>577</v>
      </c>
    </row>
    <row r="30" customFormat="false" ht="15" hidden="false" customHeight="true" outlineLevel="0" collapsed="false">
      <c r="A30" s="11" t="n">
        <v>26</v>
      </c>
      <c r="B30" s="12" t="s">
        <v>136</v>
      </c>
      <c r="C30" s="12" t="s">
        <v>302</v>
      </c>
      <c r="D30" s="12" t="s">
        <v>65</v>
      </c>
      <c r="E30" s="12" t="s">
        <v>226</v>
      </c>
      <c r="F30" s="11" t="s">
        <v>578</v>
      </c>
    </row>
    <row r="31" customFormat="false" ht="15" hidden="false" customHeight="true" outlineLevel="0" collapsed="false">
      <c r="A31" s="11" t="n">
        <v>27</v>
      </c>
      <c r="B31" s="12" t="s">
        <v>136</v>
      </c>
      <c r="C31" s="12" t="s">
        <v>499</v>
      </c>
      <c r="D31" s="12" t="s">
        <v>52</v>
      </c>
      <c r="E31" s="12" t="s">
        <v>164</v>
      </c>
      <c r="F31" s="11" t="s">
        <v>578</v>
      </c>
    </row>
    <row r="32" customFormat="false" ht="15" hidden="false" customHeight="true" outlineLevel="0" collapsed="false">
      <c r="A32" s="11" t="n">
        <v>28</v>
      </c>
      <c r="B32" s="12" t="s">
        <v>142</v>
      </c>
      <c r="C32" s="12" t="s">
        <v>305</v>
      </c>
      <c r="D32" s="12" t="s">
        <v>136</v>
      </c>
      <c r="E32" s="12" t="s">
        <v>305</v>
      </c>
      <c r="F32" s="11" t="s">
        <v>577</v>
      </c>
    </row>
    <row r="33" customFormat="false" ht="15" hidden="false" customHeight="true" outlineLevel="0" collapsed="false">
      <c r="A33" s="11" t="n">
        <v>29</v>
      </c>
      <c r="B33" s="12" t="s">
        <v>142</v>
      </c>
      <c r="C33" s="12" t="s">
        <v>268</v>
      </c>
      <c r="D33" s="12" t="s">
        <v>75</v>
      </c>
      <c r="E33" s="12" t="s">
        <v>268</v>
      </c>
      <c r="F33" s="11" t="s">
        <v>577</v>
      </c>
    </row>
    <row r="34" customFormat="false" ht="15" hidden="false" customHeight="true" outlineLevel="0" collapsed="false">
      <c r="A34" s="11" t="n">
        <v>30</v>
      </c>
      <c r="B34" s="12" t="s">
        <v>142</v>
      </c>
      <c r="C34" s="12" t="s">
        <v>288</v>
      </c>
      <c r="D34" s="12" t="s">
        <v>83</v>
      </c>
      <c r="E34" s="12" t="s">
        <v>288</v>
      </c>
      <c r="F34" s="11" t="s">
        <v>578</v>
      </c>
    </row>
    <row r="35" customFormat="false" ht="15" hidden="false" customHeight="true" outlineLevel="0" collapsed="false">
      <c r="A35" s="11" t="n">
        <v>31</v>
      </c>
      <c r="B35" s="12" t="s">
        <v>87</v>
      </c>
      <c r="C35" s="12" t="s">
        <v>305</v>
      </c>
      <c r="D35" s="12" t="s">
        <v>136</v>
      </c>
      <c r="E35" s="12" t="s">
        <v>305</v>
      </c>
      <c r="F35" s="11" t="s">
        <v>578</v>
      </c>
    </row>
    <row r="36" customFormat="false" ht="15" hidden="false" customHeight="true" outlineLevel="0" collapsed="false">
      <c r="A36" s="11" t="n">
        <v>32</v>
      </c>
      <c r="B36" s="12" t="s">
        <v>87</v>
      </c>
      <c r="C36" s="12" t="s">
        <v>308</v>
      </c>
      <c r="D36" s="12" t="s">
        <v>87</v>
      </c>
      <c r="E36" s="12" t="s">
        <v>295</v>
      </c>
      <c r="F36" s="11" t="s">
        <v>578</v>
      </c>
    </row>
    <row r="37" customFormat="false" ht="15" hidden="false" customHeight="true" outlineLevel="0" collapsed="false">
      <c r="A37" s="11" t="n">
        <v>33</v>
      </c>
      <c r="B37" s="12" t="s">
        <v>146</v>
      </c>
      <c r="C37" s="12" t="s">
        <v>295</v>
      </c>
      <c r="D37" s="12" t="s">
        <v>87</v>
      </c>
      <c r="E37" s="12" t="s">
        <v>295</v>
      </c>
      <c r="F37" s="11" t="s">
        <v>577</v>
      </c>
    </row>
    <row r="38" customFormat="false" ht="15" hidden="false" customHeight="true" outlineLevel="0" collapsed="false">
      <c r="A38" s="11" t="n">
        <v>34</v>
      </c>
      <c r="B38" s="12" t="s">
        <v>146</v>
      </c>
      <c r="C38" s="12" t="s">
        <v>217</v>
      </c>
      <c r="D38" s="12" t="s">
        <v>52</v>
      </c>
      <c r="E38" s="12" t="s">
        <v>164</v>
      </c>
      <c r="F38" s="11" t="s">
        <v>577</v>
      </c>
    </row>
    <row r="39" customFormat="false" ht="15" hidden="false" customHeight="true" outlineLevel="0" collapsed="false">
      <c r="A39" s="11" t="n">
        <v>35</v>
      </c>
      <c r="B39" s="12" t="s">
        <v>146</v>
      </c>
      <c r="C39" s="12" t="s">
        <v>525</v>
      </c>
      <c r="D39" s="12" t="s">
        <v>52</v>
      </c>
      <c r="E39" s="12" t="s">
        <v>164</v>
      </c>
      <c r="F39" s="11" t="s">
        <v>578</v>
      </c>
    </row>
    <row r="40" customFormat="false" ht="15" hidden="false" customHeight="true" outlineLevel="0" collapsed="false">
      <c r="A40" s="11" t="n">
        <v>36</v>
      </c>
      <c r="B40" s="12" t="s">
        <v>152</v>
      </c>
      <c r="C40" s="12" t="s">
        <v>510</v>
      </c>
      <c r="D40" s="12" t="s">
        <v>146</v>
      </c>
      <c r="E40" s="12" t="s">
        <v>510</v>
      </c>
      <c r="F40" s="11" t="s">
        <v>577</v>
      </c>
    </row>
    <row r="41" customFormat="false" ht="15" hidden="false" customHeight="true" outlineLevel="0" collapsed="false">
      <c r="A41" s="11" t="n">
        <v>37</v>
      </c>
      <c r="B41" s="12" t="s">
        <v>152</v>
      </c>
      <c r="C41" s="12" t="s">
        <v>363</v>
      </c>
      <c r="D41" s="12" t="s">
        <v>94</v>
      </c>
      <c r="E41" s="12" t="s">
        <v>363</v>
      </c>
      <c r="F41" s="11" t="s">
        <v>577</v>
      </c>
    </row>
    <row r="42" customFormat="false" ht="15" hidden="false" customHeight="true" outlineLevel="0" collapsed="false">
      <c r="A42" s="11" t="n">
        <v>38</v>
      </c>
      <c r="B42" s="12" t="s">
        <v>152</v>
      </c>
      <c r="C42" s="12" t="s">
        <v>548</v>
      </c>
      <c r="D42" s="12" t="s">
        <v>79</v>
      </c>
      <c r="E42" s="12" t="s">
        <v>279</v>
      </c>
      <c r="F42" s="11" t="s">
        <v>578</v>
      </c>
    </row>
    <row r="43" customFormat="false" ht="15" hidden="false" customHeight="true" outlineLevel="0" collapsed="false">
      <c r="A43" s="11" t="n">
        <v>39</v>
      </c>
      <c r="B43" s="12" t="s">
        <v>126</v>
      </c>
      <c r="C43" s="12" t="s">
        <v>463</v>
      </c>
      <c r="D43" s="12" t="s">
        <v>132</v>
      </c>
      <c r="E43" s="12" t="s">
        <v>463</v>
      </c>
      <c r="F43" s="11" t="s">
        <v>577</v>
      </c>
    </row>
    <row r="44" customFormat="false" ht="15" hidden="false" customHeight="true" outlineLevel="0" collapsed="false">
      <c r="A44" s="11" t="n">
        <v>40</v>
      </c>
      <c r="B44" s="12" t="s">
        <v>155</v>
      </c>
      <c r="C44" s="12" t="s">
        <v>268</v>
      </c>
      <c r="D44" s="12" t="s">
        <v>75</v>
      </c>
      <c r="E44" s="12" t="s">
        <v>268</v>
      </c>
      <c r="F44" s="11" t="s">
        <v>577</v>
      </c>
    </row>
    <row r="45" customFormat="false" ht="15" hidden="false" customHeight="true" outlineLevel="0" collapsed="false">
      <c r="A45" s="11" t="n">
        <v>41</v>
      </c>
      <c r="B45" s="12" t="s">
        <v>155</v>
      </c>
      <c r="C45" s="12" t="s">
        <v>164</v>
      </c>
      <c r="D45" s="12" t="s">
        <v>52</v>
      </c>
      <c r="E45" s="12" t="s">
        <v>164</v>
      </c>
      <c r="F45" s="11" t="s">
        <v>578</v>
      </c>
    </row>
    <row r="46" customFormat="false" ht="15" hidden="false" customHeight="true" outlineLevel="0" collapsed="false">
      <c r="A46" s="11" t="n">
        <v>42</v>
      </c>
      <c r="B46" s="12" t="s">
        <v>155</v>
      </c>
      <c r="C46" s="12" t="s">
        <v>295</v>
      </c>
      <c r="D46" s="12" t="s">
        <v>87</v>
      </c>
      <c r="E46" s="12" t="s">
        <v>295</v>
      </c>
      <c r="F46" s="11" t="s">
        <v>578</v>
      </c>
    </row>
    <row r="47" customFormat="false" ht="15" hidden="false" customHeight="true" outlineLevel="0" collapsed="false">
      <c r="A47" s="11" t="n">
        <v>43</v>
      </c>
      <c r="B47" s="12" t="s">
        <v>155</v>
      </c>
      <c r="C47" s="12" t="s">
        <v>460</v>
      </c>
      <c r="D47" s="12" t="s">
        <v>126</v>
      </c>
      <c r="E47" s="12" t="s">
        <v>460</v>
      </c>
      <c r="F47" s="11" t="s">
        <v>578</v>
      </c>
    </row>
    <row r="48" customFormat="false" ht="15" hidden="false" customHeight="true" outlineLevel="0" collapsed="false">
      <c r="A48" s="11" t="n">
        <v>44</v>
      </c>
      <c r="B48" s="12" t="s">
        <v>116</v>
      </c>
      <c r="C48" s="12" t="s">
        <v>432</v>
      </c>
      <c r="D48" s="12" t="s">
        <v>52</v>
      </c>
      <c r="E48" s="12" t="s">
        <v>164</v>
      </c>
      <c r="F48" s="11" t="s">
        <v>577</v>
      </c>
    </row>
    <row r="49" customFormat="false" ht="15" hidden="false" customHeight="true" outlineLevel="0" collapsed="false">
      <c r="A49" s="11" t="n">
        <v>45</v>
      </c>
      <c r="B49" s="12" t="s">
        <v>108</v>
      </c>
      <c r="C49" s="12" t="s">
        <v>418</v>
      </c>
      <c r="D49" s="12" t="s">
        <v>52</v>
      </c>
      <c r="E49" s="12" t="s">
        <v>164</v>
      </c>
      <c r="F49" s="11" t="s">
        <v>578</v>
      </c>
    </row>
  </sheetData>
  <autoFilter ref="A4:F4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2026-09-29T23:53:32Z</dcterms:created>
  <dc:creator>openpyxl</dc:creator>
  <dc:description/>
  <dc:language>en-US</dc:language>
  <cp:lastModifiedBy/>
  <dcterms:modified xsi:type="dcterms:W3CDTF">2026-10-02T11:34:35Z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